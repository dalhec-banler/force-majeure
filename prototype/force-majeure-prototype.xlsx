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PLAY" sheetId="1" state="visible" r:id="rId3"/>
    <sheet name="PLAY" sheetId="2" state="visible" r:id="rId4"/>
    <sheet name="CLIMATE" sheetId="3" state="visible" r:id="rId5"/>
    <sheet name="REGIONS" sheetId="4" state="visible" r:id="rId6"/>
    <sheet name="GRAPH" sheetId="5" state="visible" r:id="rId7"/>
    <sheet name="CAPABILITIES" sheetId="6" state="visible" r:id="rId8"/>
    <sheet name="ASSUMPTIONS" sheetId="7" state="visible" r:id="rId9"/>
    <sheet name="ENGIN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<sst xmlns="http://schemas.openxmlformats.org/spreadsheetml/2006/main" count="441" uniqueCount="275">
  <si>
    <t xml:space="preserve">HOW TO PLAY — and what you are actually testing</t>
  </si>
  <si>
    <t xml:space="preserve">WHY THIS EXISTS</t>
  </si>
  <si>
    <t xml:space="preserve">Every system in the design brief assumes one thing is true: that nudging an invisible system and watching the consequences arrive four to eight seasons later, in a country you did not target, is FUN. Nothing written so far proves that. This workbook is the cheapest possible test of it. Ten years, one homeland, eight regions, nine tools.</t>
  </si>
  <si>
    <t xml:space="preserve">If forty seasons of this is tense and legible and you want a forty-first, the design is sound and worth building. If it feels like filling in a tax return, the core loop needs rework and you have found that out in an afternoon instead of a year.</t>
  </si>
  <si>
    <t xml:space="preserve">THE SETUP</t>
  </si>
  <si>
    <t xml:space="preserve">You direct a national environmental warfare programme, 1946-1955. Your homeland is the North American Plains: a wheat and maize exporter. Your budget comes from two places — a share of homeland farm revenue, and an appropriation driven by MANDATE, which rises when the world's weather looks frightening.</t>
  </si>
  <si>
    <t xml:space="preserve">Read that last part again. A calm world defunds you.</t>
  </si>
  <si>
    <t xml:space="preserve">HOW A SEASON WORKS</t>
  </si>
  <si>
    <t xml:space="preserve">1. Look</t>
  </si>
  <si>
    <t xml:space="preserve">Read the row above. What landed? Which region is worst hit? What happened to the grain price and your revenue?</t>
  </si>
  <si>
    <t xml:space="preserve">2. Commit</t>
  </si>
  <si>
    <t xml:space="preserve">On the current row, choose up to two operations from the dropdowns in columns D and F, and a target region in E and G where the tool needs one. Set containment spend in H.</t>
  </si>
  <si>
    <t xml:space="preserve">3. Resolve</t>
  </si>
  <si>
    <t xml:space="preserve">The row fills in. Most of what you just ordered will NOT appear this season — check the lag in CAPABILITIES.</t>
  </si>
  <si>
    <t xml:space="preserve">4. Move down</t>
  </si>
  <si>
    <t xml:space="preserve">One row at a time. Do not scroll ahead and do not undo. Playing it honestly is the whole experiment.</t>
  </si>
  <si>
    <t xml:space="preserve">THE FOUR THINGS TO WATCH</t>
  </si>
  <si>
    <t xml:space="preserve">Treasury (I)</t>
  </si>
  <si>
    <t xml:space="preserve">Runs out and you cannot act. Ops are expensive; containment is worse.</t>
  </si>
  <si>
    <t xml:space="preserve">Mandate (J)</t>
  </si>
  <si>
    <t xml:space="preserve">Rises with global weather severity. This is your appropriation. It is also the trap.</t>
  </si>
  <si>
    <t xml:space="preserve">Price / Revenue (M, N)</t>
  </si>
  <si>
    <t xml:space="preserve">You export wheat. Someone else's failed harvest is your windfall. Someone else's bumper crop is your problem. This is the whole economic game.</t>
  </si>
  <si>
    <t xml:space="preserve">Dossier (Q, R)</t>
  </si>
  <si>
    <t xml:space="preserve">Hidden accumulation of evidence. You never see the number in the real game — only column R. At 200 you are exposed and the run is over.</t>
  </si>
  <si>
    <t xml:space="preserve">WHAT TO TRY</t>
  </si>
  <si>
    <t xml:space="preserve">The obvious play</t>
  </si>
  <si>
    <t xml:space="preserve">Cloud Seeding on your homeland every season. Watch what it costs you and what it fails to achieve.</t>
  </si>
  <si>
    <t xml:space="preserve">The real play</t>
  </si>
  <si>
    <t xml:space="preserve">Find a region that competes with you in wheat. Look up its teleconnections in GRAPH. Move the driver, not the region — it is slower, but the anomaly arrives looking like climate.</t>
  </si>
  <si>
    <t xml:space="preserve">The elegant play</t>
  </si>
  <si>
    <t xml:space="preserve">Wait. Watch the ENSO column in CLIMATE. When a strong natural swing is already coming, act into it: your anomaly hides inside the envelope and your signature multiplier collapses. Patience is a mechanic.</t>
  </si>
  <si>
    <t xml:space="preserve">Fire Enablement</t>
  </si>
  <si>
    <t xml:space="preserve">Only fully effective if the target was already dry last season. Build the drought first, then ignite. This is the composite mechanic in miniature and it is the most interesting tool in the catalogue.</t>
  </si>
  <si>
    <t xml:space="preserve">The energy ledger</t>
  </si>
  <si>
    <t xml:space="preserve">Ocean Thermal, Aerosol and ENSO Forcing all DISPLACE — check the CAPABILITIES sheet. What you move surfaces somewhere else, several seasons later, with the opposite sign. This is where the game bites.</t>
  </si>
  <si>
    <t xml:space="preserve">WHAT TO RECORD</t>
  </si>
  <si>
    <t xml:space="preserve">Keep a note beside you. After every season write one line: what you expected, and what happened. At the end, count how many times those two matched. If it is near zero, the model is noise and the player cannot learn it. If it is near forty, it is too legible and there is no tension. Somewhere in the middle is a game.</t>
  </si>
  <si>
    <t xml:space="preserve">Also record: which season was the most fun, and why. That answer is worth more than the rest of this workbook.</t>
  </si>
  <si>
    <t xml:space="preserve">WHAT THIS IS NOT</t>
  </si>
  <si>
    <t xml:space="preserve">Not balanced. Not a spec. Not a model of the real climate — the graph is real in its RELATIONSHIPS and invented in its NUMBERS. Every value on ASSUMPTIONS is a guess. Change them freely; that is what they are for.</t>
  </si>
  <si>
    <t xml:space="preserve">SHEETS</t>
  </si>
  <si>
    <t xml:space="preserve">PLAY</t>
  </si>
  <si>
    <t xml:space="preserve">Where you play. Blue cells are yours.</t>
  </si>
  <si>
    <t xml:space="preserve">CLIMATE</t>
  </si>
  <si>
    <t xml:space="preserve">The natural background. In the real game this is observed ENSO/IOD/Atlantic SST data.</t>
  </si>
  <si>
    <t xml:space="preserve">REGIONS</t>
  </si>
  <si>
    <t xml:space="preserve">Nodes: crop, supply weight, yield sensitivity, variance envelope.</t>
  </si>
  <si>
    <t xml:space="preserve">GRAPH</t>
  </si>
  <si>
    <t xml:space="preserve">Edges: coefficients and lags. Real climatology, invented magnitudes.</t>
  </si>
  <si>
    <t xml:space="preserve">CAPABILITIES</t>
  </si>
  <si>
    <t xml:space="preserve">The nine tools and their parameters.</t>
  </si>
  <si>
    <t xml:space="preserve">ASSUMPTIONS</t>
  </si>
  <si>
    <t xml:space="preserve">Every dial in the model, plus the exposure ladder.</t>
  </si>
  <si>
    <t xml:space="preserve">ENGINE</t>
  </si>
  <si>
    <t xml:space="preserve">The resolution maths. Computed; do not edit.</t>
  </si>
  <si>
    <t xml:space="preserve">FORCE MAJEURE — CORE LOOP PROTOTYPE</t>
  </si>
  <si>
    <t xml:space="preserve">You are the Directorate. 1946-1955. Homeland: North American Plains (wheat and maize exporter).</t>
  </si>
  <si>
    <t xml:space="preserve">THE ONLY QUESTION THIS PROTOTYPE ASKS:  is it fun to nudge an invisible system and watch the consequences arrive four to eight seasons later in the wrong country?   Fill the four BLUE columns, one season at a time, top to bottom. Do not read ahead. Read HOW TO PLAY first.</t>
  </si>
  <si>
    <t xml:space="preserve">t</t>
  </si>
  <si>
    <t xml:space="preserve">Year</t>
  </si>
  <si>
    <t xml:space="preserve">Qtr</t>
  </si>
  <si>
    <t xml:space="preserve">OPERATION A</t>
  </si>
  <si>
    <t xml:space="preserve">Target region</t>
  </si>
  <si>
    <t xml:space="preserve">OPERATION B</t>
  </si>
  <si>
    <t xml:space="preserve">Containment $</t>
  </si>
  <si>
    <t xml:space="preserve">Treasury</t>
  </si>
  <si>
    <t xml:space="preserve">Mandate</t>
  </si>
  <si>
    <t xml:space="preserve">Homeland yield</t>
  </si>
  <si>
    <t xml:space="preserve">World supply</t>
  </si>
  <si>
    <t xml:space="preserve">Grain price</t>
  </si>
  <si>
    <t xml:space="preserve">Revenue</t>
  </si>
  <si>
    <t xml:space="preserve">Worst-hit region</t>
  </si>
  <si>
    <t xml:space="preserve">its yield</t>
  </si>
  <si>
    <t xml:space="preserve">Dossier</t>
  </si>
  <si>
    <t xml:space="preserve">WHAT YOU ARE TOLD</t>
  </si>
  <si>
    <t xml:space="preserve">STATUS</t>
  </si>
  <si>
    <t xml:space="preserve">Cloud Seeding</t>
  </si>
  <si>
    <t xml:space="preserve">Sahel</t>
  </si>
  <si>
    <t xml:space="preserve">— none —</t>
  </si>
  <si>
    <t xml:space="preserve">CLIMATE SUBSTRATE — natural background variability</t>
  </si>
  <si>
    <t xml:space="preserve">Natural driver values and per-region weather noise. In the real game these come from observed records (ONI/ENSO 1950-present, IOD, Atlantic SST, ERA5 reanalysis). Here they are a deterministic stand-in so runs are replayable. BLUE = editable input.</t>
  </si>
  <si>
    <t xml:space="preserve">Season</t>
  </si>
  <si>
    <t xml:space="preserve">ENSO (natural)</t>
  </si>
  <si>
    <t xml:space="preserve">IOD (natural)</t>
  </si>
  <si>
    <t xml:space="preserve">NATL (natural)</t>
  </si>
  <si>
    <t xml:space="preserve">GLOBAL (natural)</t>
  </si>
  <si>
    <t xml:space="preserve">noise: North American Plains</t>
  </si>
  <si>
    <t xml:space="preserve">noise: Black Sea Steppe</t>
  </si>
  <si>
    <t xml:space="preserve">noise: La Plata Basin</t>
  </si>
  <si>
    <t xml:space="preserve">noise: South Asia</t>
  </si>
  <si>
    <t xml:space="preserve">noise: Southeast Asia</t>
  </si>
  <si>
    <t xml:space="preserve">noise: Eastern Australia</t>
  </si>
  <si>
    <t xml:space="preserve">noise: Sahel</t>
  </si>
  <si>
    <t xml:space="preserve">noise: Horn of Africa</t>
  </si>
  <si>
    <t xml:space="preserve">Winter</t>
  </si>
  <si>
    <t xml:space="preserve">Spring</t>
  </si>
  <si>
    <t xml:space="preserve">Summer</t>
  </si>
  <si>
    <t xml:space="preserve">Autumn</t>
  </si>
  <si>
    <t xml:space="preserve">REGION NODES</t>
  </si>
  <si>
    <t xml:space="preserve">Each region is a node on the teleconnection graph. SIGMA is the natural variance envelope — the width of 'could have happened anyway'. It widens every season (see ASSUMPTIONS) as the baseline destabilises, which is why deniability gets cheaper the longer you play.</t>
  </si>
  <si>
    <t xml:space="preserve">#</t>
  </si>
  <si>
    <t xml:space="preserve">Region</t>
  </si>
  <si>
    <t xml:space="preserve">Primary crop</t>
  </si>
  <si>
    <t xml:space="preserve">Global supply weight (%)</t>
  </si>
  <si>
    <t xml:space="preserve">Yield sensitivity</t>
  </si>
  <si>
    <t xml:space="preserve">Sigma (base envelope)</t>
  </si>
  <si>
    <t xml:space="preserve">Homeland?</t>
  </si>
  <si>
    <t xml:space="preserve">North American Plains</t>
  </si>
  <si>
    <t xml:space="preserve">Wheat / Maize</t>
  </si>
  <si>
    <t xml:space="preserve">YES</t>
  </si>
  <si>
    <t xml:space="preserve">Black Sea Steppe</t>
  </si>
  <si>
    <t xml:space="preserve">Wheat</t>
  </si>
  <si>
    <t xml:space="preserve">La Plata Basin</t>
  </si>
  <si>
    <t xml:space="preserve">Soy / Maize</t>
  </si>
  <si>
    <t xml:space="preserve">South Asia</t>
  </si>
  <si>
    <t xml:space="preserve">Rice / Wheat</t>
  </si>
  <si>
    <t xml:space="preserve">Southeast Asia</t>
  </si>
  <si>
    <t xml:space="preserve">Rice</t>
  </si>
  <si>
    <t xml:space="preserve">Eastern Australia</t>
  </si>
  <si>
    <t xml:space="preserve">Millet</t>
  </si>
  <si>
    <t xml:space="preserve">Horn of Africa</t>
  </si>
  <si>
    <t xml:space="preserve">Maize</t>
  </si>
  <si>
    <t xml:space="preserve">TOTAL</t>
  </si>
  <si>
    <t xml:space="preserve">TELECONNECTION GRAPH — coefficients and lags</t>
  </si>
  <si>
    <t xml:space="preserve">Edges of the causal graph. Coefficient = how strongly a driver moves a region's moisture anomaly. Lag = seasons before it lands. Relationships are drawn from real climatology (El Nino drying Australia and SE Asia, warm North Atlantic wetting the Sahel, IOD driving the Horn). In the full game the player begins seeing roughly 20% of these edges and reveals the rest through research.</t>
  </si>
  <si>
    <t xml:space="preserve">COEFFICIENTS</t>
  </si>
  <si>
    <t xml:space="preserve">ENSO</t>
  </si>
  <si>
    <t xml:space="preserve">IOD</t>
  </si>
  <si>
    <t xml:space="preserve">NATL</t>
  </si>
  <si>
    <t xml:space="preserve">GLOBAL</t>
  </si>
  <si>
    <t xml:space="preserve">LAGS (seasons)</t>
  </si>
  <si>
    <t xml:space="preserve">CAPABILITY CATALOGUE</t>
  </si>
  <si>
    <t xml:space="preserve">The tools. SIGNATURE is attribution added per use, before the envelope multiplier — an operation that produces an outcome far outside a region's natural range costs far more than its base signature. DISPLACES is the energy ledger: what you move has to surface somewhere else, later.</t>
  </si>
  <si>
    <t xml:space="preserve">Capability</t>
  </si>
  <si>
    <t xml:space="preserve">Type</t>
  </si>
  <si>
    <t xml:space="preserve">Fixed target</t>
  </si>
  <si>
    <t xml:space="preserve">Magnitude</t>
  </si>
  <si>
    <t xml:space="preserve">Lag (seasons)</t>
  </si>
  <si>
    <t xml:space="preserve">Signature</t>
  </si>
  <si>
    <t xml:space="preserve">Cost</t>
  </si>
  <si>
    <t xml:space="preserve">Displaces to</t>
  </si>
  <si>
    <t xml:space="preserve">Disp. factor</t>
  </si>
  <si>
    <t xml:space="preserve">Disp. extra lag</t>
  </si>
  <si>
    <t xml:space="preserve">Needs drought</t>
  </si>
  <si>
    <t xml:space="preserve">Resilience +</t>
  </si>
  <si>
    <t xml:space="preserve">NONE</t>
  </si>
  <si>
    <t xml:space="preserve">N</t>
  </si>
  <si>
    <t xml:space="preserve">REGION</t>
  </si>
  <si>
    <t xml:space="preserve">Watershed Interference</t>
  </si>
  <si>
    <t xml:space="preserve">Y</t>
  </si>
  <si>
    <t xml:space="preserve">Adaptation Investment</t>
  </si>
  <si>
    <t xml:space="preserve">Ocean Thermal Forcing</t>
  </si>
  <si>
    <t xml:space="preserve">DRIVER</t>
  </si>
  <si>
    <t xml:space="preserve">Stratospheric Aerosol Inj.</t>
  </si>
  <si>
    <t xml:space="preserve">ENSO Forcing</t>
  </si>
  <si>
    <t xml:space="preserve">Ionospheric Coupling [T3]</t>
  </si>
  <si>
    <t xml:space="preserve">TUNING ASSUMPTIONS</t>
  </si>
  <si>
    <t xml:space="preserve">Every number the model uses that is not a region, edge, or capability. These are the dials. All are guesses — that is what the prototype is for.</t>
  </si>
  <si>
    <t xml:space="preserve">Assumption</t>
  </si>
  <si>
    <t xml:space="preserve">Value</t>
  </si>
  <si>
    <t xml:space="preserve">Note</t>
  </si>
  <si>
    <t xml:space="preserve">Drought yield penalty per unit anomaly</t>
  </si>
  <si>
    <t xml:space="preserve">Yield lost per 1.0 of negative moisture anomaly, x region sensitivity</t>
  </si>
  <si>
    <t xml:space="preserve">Flood yield penalty per unit anomaly</t>
  </si>
  <si>
    <t xml:space="preserve">Applied only above +1.2 anomaly</t>
  </si>
  <si>
    <t xml:space="preserve">Flood threshold</t>
  </si>
  <si>
    <t xml:space="preserve">Anomaly above which excess water starts destroying yield</t>
  </si>
  <si>
    <t xml:space="preserve">Price elasticity exponent</t>
  </si>
  <si>
    <t xml:space="preserve">Global price = 100 x (baseline supply / actual supply) ^ this</t>
  </si>
  <si>
    <t xml:space="preserve">Homeland revenue scale</t>
  </si>
  <si>
    <t xml:space="preserve">Converts yield x price into budget units</t>
  </si>
  <si>
    <t xml:space="preserve">Mandate base</t>
  </si>
  <si>
    <t xml:space="preserve">Political capital floor with a calm world</t>
  </si>
  <si>
    <t xml:space="preserve">Mandate per unit global severity</t>
  </si>
  <si>
    <t xml:space="preserve">THE DARK ENGINE: fear funds you</t>
  </si>
  <si>
    <t xml:space="preserve">Mandate cap</t>
  </si>
  <si>
    <t xml:space="preserve">Budget from revenue</t>
  </si>
  <si>
    <t xml:space="preserve">Share of homeland revenue reaching the programme</t>
  </si>
  <si>
    <t xml:space="preserve">Budget from mandate</t>
  </si>
  <si>
    <t xml:space="preserve">Appropriation driven by perceived threat</t>
  </si>
  <si>
    <t xml:space="preserve">Containment efficiency</t>
  </si>
  <si>
    <t xml:space="preserve">Dossier points removed per unit of containment spend</t>
  </si>
  <si>
    <t xml:space="preserve">Dossier decay per season</t>
  </si>
  <si>
    <t xml:space="preserve">Institutional forgetting</t>
  </si>
  <si>
    <t xml:space="preserve">Envelope widening per season</t>
  </si>
  <si>
    <t xml:space="preserve">Sigma grows as the baseline destabilises</t>
  </si>
  <si>
    <t xml:space="preserve">Dry precondition threshold</t>
  </si>
  <si>
    <t xml:space="preserve">Prior-season anomaly below this makes Fire Enablement fully effective</t>
  </si>
  <si>
    <t xml:space="preserve">Dry precondition penalty</t>
  </si>
  <si>
    <t xml:space="preserve">Effectiveness multiplier when the precondition is unmet</t>
  </si>
  <si>
    <t xml:space="preserve">Envelope multiplier weight</t>
  </si>
  <si>
    <t xml:space="preserve">How hard an outside-envelope outcome amplifies signature</t>
  </si>
  <si>
    <t xml:space="preserve">Programme overhead per season</t>
  </si>
  <si>
    <t xml:space="preserve">Fixed running cost. A calm world barely covers it — this is the obsolescence pressure</t>
  </si>
  <si>
    <t xml:space="preserve">Severity threshold (x sigma)</t>
  </si>
  <si>
    <t xml:space="preserve">Anomaly must exceed this fraction of the envelope to read as a disaster</t>
  </si>
  <si>
    <t xml:space="preserve">Starting treasury</t>
  </si>
  <si>
    <t xml:space="preserve">Opening balance, 1946</t>
  </si>
  <si>
    <t xml:space="preserve">EXPOSURE LADDER</t>
  </si>
  <si>
    <t xml:space="preserve">Dossier at or above</t>
  </si>
  <si>
    <t xml:space="preserve">What you are told</t>
  </si>
  <si>
    <t xml:space="preserve">Nothing. No one is looking.</t>
  </si>
  <si>
    <t xml:space="preserve">A graduate student publishes an odd residual. Nobody cites it.</t>
  </si>
  <si>
    <t xml:space="preserve">A wire journalist files an inquiry with the ministry.</t>
  </si>
  <si>
    <t xml:space="preserve">An academic consortium announces an attribution study.</t>
  </si>
  <si>
    <t xml:space="preserve">A rival service names your programme in a classified brief.</t>
  </si>
  <si>
    <t xml:space="preserve">Formal international investigation. Inspectors requested.</t>
  </si>
  <si>
    <t xml:space="preserve">EXPOSED — the record is public and it is yours.</t>
  </si>
  <si>
    <t xml:space="preserve">RESOLUTION ENGINE — do not edit; everything here is computed</t>
  </si>
  <si>
    <t xml:space="preserve">Enter operations on PLAY. This sheet propagates them through the graph, resolves yields, prices, budget and attribution.</t>
  </si>
  <si>
    <t xml:space="preserve">OpA type</t>
  </si>
  <si>
    <t xml:space="preserve">OpA target</t>
  </si>
  <si>
    <t xml:space="preserve">OpA mag</t>
  </si>
  <si>
    <t xml:space="preserve">OpA lag</t>
  </si>
  <si>
    <t xml:space="preserve">OpA sig</t>
  </si>
  <si>
    <t xml:space="preserve">OpA cost</t>
  </si>
  <si>
    <t xml:space="preserve">OpA disp tgt</t>
  </si>
  <si>
    <t xml:space="preserve">OpA disp mag</t>
  </si>
  <si>
    <t xml:space="preserve">OpA disp lag</t>
  </si>
  <si>
    <t xml:space="preserve">OpA resil</t>
  </si>
  <si>
    <t xml:space="preserve">OpB type</t>
  </si>
  <si>
    <t xml:space="preserve">OpB target</t>
  </si>
  <si>
    <t xml:space="preserve">OpB mag</t>
  </si>
  <si>
    <t xml:space="preserve">OpB lag</t>
  </si>
  <si>
    <t xml:space="preserve">OpB sig</t>
  </si>
  <si>
    <t xml:space="preserve">OpB cost</t>
  </si>
  <si>
    <t xml:space="preserve">OpB disp tgt</t>
  </si>
  <si>
    <t xml:space="preserve">OpB disp mag</t>
  </si>
  <si>
    <t xml:space="preserve">OpB disp lag</t>
  </si>
  <si>
    <t xml:space="preserve">OpB resil</t>
  </si>
  <si>
    <t xml:space="preserve">ENSO total</t>
  </si>
  <si>
    <t xml:space="preserve">IOD total</t>
  </si>
  <si>
    <t xml:space="preserve">NATL total</t>
  </si>
  <si>
    <t xml:space="preserve">GLOBAL total</t>
  </si>
  <si>
    <t xml:space="preserve">Anom: North American Plains</t>
  </si>
  <si>
    <t xml:space="preserve">Anom: Black Sea Steppe</t>
  </si>
  <si>
    <t xml:space="preserve">Anom: La Plata Basin</t>
  </si>
  <si>
    <t xml:space="preserve">Anom: South Asia</t>
  </si>
  <si>
    <t xml:space="preserve">Anom: Southeast Asia</t>
  </si>
  <si>
    <t xml:space="preserve">Anom: Eastern Australia</t>
  </si>
  <si>
    <t xml:space="preserve">Anom: Sahel</t>
  </si>
  <si>
    <t xml:space="preserve">Anom: Horn of Africa</t>
  </si>
  <si>
    <t xml:space="preserve">Sigma: North American Plains</t>
  </si>
  <si>
    <t xml:space="preserve">Sigma: Black Sea Steppe</t>
  </si>
  <si>
    <t xml:space="preserve">Sigma: La Plata Basin</t>
  </si>
  <si>
    <t xml:space="preserve">Sigma: South Asia</t>
  </si>
  <si>
    <t xml:space="preserve">Sigma: Southeast Asia</t>
  </si>
  <si>
    <t xml:space="preserve">Sigma: Eastern Australia</t>
  </si>
  <si>
    <t xml:space="preserve">Sigma: Sahel</t>
  </si>
  <si>
    <t xml:space="preserve">Sigma: Horn of Africa</t>
  </si>
  <si>
    <t xml:space="preserve">Resil: North American Plains</t>
  </si>
  <si>
    <t xml:space="preserve">Resil: Black Sea Steppe</t>
  </si>
  <si>
    <t xml:space="preserve">Resil: La Plata Basin</t>
  </si>
  <si>
    <t xml:space="preserve">Resil: South Asia</t>
  </si>
  <si>
    <t xml:space="preserve">Resil: Southeast Asia</t>
  </si>
  <si>
    <t xml:space="preserve">Resil: Eastern Australia</t>
  </si>
  <si>
    <t xml:space="preserve">Resil: Sahel</t>
  </si>
  <si>
    <t xml:space="preserve">Resil: Horn of Africa</t>
  </si>
  <si>
    <t xml:space="preserve">Yield: North American Plains</t>
  </si>
  <si>
    <t xml:space="preserve">Yield: Black Sea Steppe</t>
  </si>
  <si>
    <t xml:space="preserve">Yield: La Plata Basin</t>
  </si>
  <si>
    <t xml:space="preserve">Yield: South Asia</t>
  </si>
  <si>
    <t xml:space="preserve">Yield: Southeast Asia</t>
  </si>
  <si>
    <t xml:space="preserve">Yield: Eastern Australia</t>
  </si>
  <si>
    <t xml:space="preserve">Yield: Sahel</t>
  </si>
  <si>
    <t xml:space="preserve">Yield: Horn of Africa</t>
  </si>
  <si>
    <t xml:space="preserve">Global supply</t>
  </si>
  <si>
    <t xml:space="preserve">Price index</t>
  </si>
  <si>
    <t xml:space="preserve">Homeland revenue</t>
  </si>
  <si>
    <t xml:space="preserve">Global severity</t>
  </si>
  <si>
    <t xml:space="preserve">Ops spend</t>
  </si>
  <si>
    <t xml:space="preserve">Containment</t>
  </si>
  <si>
    <t xml:space="preserve">Budget in</t>
  </si>
  <si>
    <t xml:space="preserve">Attribution +</t>
  </si>
</sst>
</file>

<file path=xl/styles.xml><?xml version="1.0" encoding="utf-8"?>
<styleSheet xmlns="http://schemas.openxmlformats.org/spreadsheetml/2006/main">
  <numFmts count="5">
    <numFmt numFmtId="164" formatCode="General"/>
    <numFmt numFmtId="165" formatCode="0"/>
    <numFmt numFmtId="166" formatCode="0.0"/>
    <numFmt numFmtId="167" formatCode="0.00"/>
    <numFmt numFmtId="168" formatCode="0.0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F3B2C"/>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C00000"/>
      <name val="Arial"/>
      <family val="0"/>
      <charset val="1"/>
    </font>
    <font>
      <b val="true"/>
      <sz val="9"/>
      <color rgb="FFFFFFFF"/>
      <name val="Arial"/>
      <family val="0"/>
      <charset val="1"/>
    </font>
    <font>
      <sz val="9"/>
      <name val="Arial"/>
      <family val="0"/>
      <charset val="1"/>
    </font>
    <font>
      <sz val="10"/>
      <color rgb="FF0000FF"/>
      <name val="Arial"/>
      <family val="0"/>
      <charset val="1"/>
    </font>
    <font>
      <i val="true"/>
      <sz val="9"/>
      <color rgb="FF595959"/>
      <name val="Arial"/>
      <family val="0"/>
      <charset val="1"/>
    </font>
  </fonts>
  <fills count="7">
    <fill>
      <patternFill patternType="none"/>
    </fill>
    <fill>
      <patternFill patternType="gray125"/>
    </fill>
    <fill>
      <patternFill patternType="solid">
        <fgColor rgb="FF1F3B2C"/>
        <bgColor rgb="FF003300"/>
      </patternFill>
    </fill>
    <fill>
      <patternFill patternType="solid">
        <fgColor rgb="FFF2F2F2"/>
        <bgColor rgb="FFFFFFFF"/>
      </patternFill>
    </fill>
    <fill>
      <patternFill patternType="solid">
        <fgColor rgb="FF2F5741"/>
        <bgColor rgb="FF3E6B52"/>
      </patternFill>
    </fill>
    <fill>
      <patternFill patternType="solid">
        <fgColor rgb="FF3E6B52"/>
        <bgColor rgb="FF2F5741"/>
      </patternFill>
    </fill>
    <fill>
      <patternFill patternType="solid">
        <fgColor rgb="FFFFF2C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8" fontId="12"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E6B52"/>
      <rgbColor rgb="FF003300"/>
      <rgbColor rgb="FF2F5741"/>
      <rgbColor rgb="FF993300"/>
      <rgbColor rgb="FF993366"/>
      <rgbColor rgb="FF333399"/>
      <rgbColor rgb="FF1F3B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30" hidden="false" customHeight="true" outlineLevel="0" collapsed="false">
      <c r="A1" s="1" t="s">
        <v>0</v>
      </c>
      <c r="B1" s="1"/>
    </row>
    <row r="4" customFormat="false" ht="15" hidden="false" customHeight="false" outlineLevel="0" collapsed="false">
      <c r="A4" s="2" t="s">
        <v>1</v>
      </c>
      <c r="B4" s="2"/>
    </row>
    <row r="5" customFormat="false" ht="51.75" hidden="false" customHeight="true" outlineLevel="0" collapsed="false">
      <c r="A5" s="3"/>
      <c r="B5" s="4" t="s">
        <v>2</v>
      </c>
    </row>
    <row r="6" customFormat="false" ht="39" hidden="false" customHeight="true" outlineLevel="0" collapsed="false">
      <c r="A6" s="3"/>
      <c r="B6" s="4" t="s">
        <v>3</v>
      </c>
    </row>
    <row r="8" customFormat="false" ht="15" hidden="false" customHeight="false" outlineLevel="0" collapsed="false">
      <c r="A8" s="2" t="s">
        <v>4</v>
      </c>
      <c r="B8" s="2"/>
    </row>
    <row r="9" customFormat="false" ht="39" hidden="false" customHeight="true" outlineLevel="0" collapsed="false">
      <c r="A9" s="3"/>
      <c r="B9" s="4" t="s">
        <v>5</v>
      </c>
    </row>
    <row r="10" customFormat="false" ht="15" hidden="false" customHeight="true" outlineLevel="0" collapsed="false">
      <c r="A10" s="3"/>
      <c r="B10" s="4" t="s">
        <v>6</v>
      </c>
    </row>
    <row r="12" customFormat="false" ht="15" hidden="false" customHeight="false" outlineLevel="0" collapsed="false">
      <c r="A12" s="2" t="s">
        <v>7</v>
      </c>
      <c r="B12" s="2"/>
    </row>
    <row r="13" customFormat="false" ht="25.5" hidden="false" customHeight="true" outlineLevel="0" collapsed="false">
      <c r="A13" s="3" t="s">
        <v>8</v>
      </c>
      <c r="B13" s="4" t="s">
        <v>9</v>
      </c>
    </row>
    <row r="14" customFormat="false" ht="25.5" hidden="false" customHeight="true" outlineLevel="0" collapsed="false">
      <c r="A14" s="3" t="s">
        <v>10</v>
      </c>
      <c r="B14" s="4" t="s">
        <v>11</v>
      </c>
    </row>
    <row r="15" customFormat="false" ht="25.5" hidden="false" customHeight="true" outlineLevel="0" collapsed="false">
      <c r="A15" s="3" t="s">
        <v>12</v>
      </c>
      <c r="B15" s="4" t="s">
        <v>13</v>
      </c>
    </row>
    <row r="16" customFormat="false" ht="15" hidden="false" customHeight="true" outlineLevel="0" collapsed="false">
      <c r="A16" s="3" t="s">
        <v>14</v>
      </c>
      <c r="B16" s="4" t="s">
        <v>15</v>
      </c>
    </row>
    <row r="18" customFormat="false" ht="15" hidden="false" customHeight="false" outlineLevel="0" collapsed="false">
      <c r="A18" s="2" t="s">
        <v>16</v>
      </c>
      <c r="B18" s="2"/>
    </row>
    <row r="19" customFormat="false" ht="15" hidden="false" customHeight="true" outlineLevel="0" collapsed="false">
      <c r="A19" s="3" t="s">
        <v>17</v>
      </c>
      <c r="B19" s="4" t="s">
        <v>18</v>
      </c>
    </row>
    <row r="20" customFormat="false" ht="15" hidden="false" customHeight="true" outlineLevel="0" collapsed="false">
      <c r="A20" s="3" t="s">
        <v>19</v>
      </c>
      <c r="B20" s="4" t="s">
        <v>20</v>
      </c>
    </row>
    <row r="21" customFormat="false" ht="25.5" hidden="false" customHeight="true" outlineLevel="0" collapsed="false">
      <c r="A21" s="3" t="s">
        <v>21</v>
      </c>
      <c r="B21" s="4" t="s">
        <v>22</v>
      </c>
    </row>
    <row r="22" customFormat="false" ht="25.5" hidden="false" customHeight="true" outlineLevel="0" collapsed="false">
      <c r="A22" s="3" t="s">
        <v>23</v>
      </c>
      <c r="B22" s="4" t="s">
        <v>24</v>
      </c>
    </row>
    <row r="24" customFormat="false" ht="15" hidden="false" customHeight="false" outlineLevel="0" collapsed="false">
      <c r="A24" s="2" t="s">
        <v>25</v>
      </c>
      <c r="B24" s="2"/>
    </row>
    <row r="25" customFormat="false" ht="15" hidden="false" customHeight="true" outlineLevel="0" collapsed="false">
      <c r="A25" s="3" t="s">
        <v>26</v>
      </c>
      <c r="B25" s="4" t="s">
        <v>27</v>
      </c>
    </row>
    <row r="26" customFormat="false" ht="25.5" hidden="false" customHeight="true" outlineLevel="0" collapsed="false">
      <c r="A26" s="3" t="s">
        <v>28</v>
      </c>
      <c r="B26" s="4" t="s">
        <v>29</v>
      </c>
    </row>
    <row r="27" customFormat="false" ht="25.5" hidden="false" customHeight="true" outlineLevel="0" collapsed="false">
      <c r="A27" s="3" t="s">
        <v>30</v>
      </c>
      <c r="B27" s="4" t="s">
        <v>31</v>
      </c>
    </row>
    <row r="28" customFormat="false" ht="25.5" hidden="false" customHeight="true" outlineLevel="0" collapsed="false">
      <c r="A28" s="3" t="s">
        <v>32</v>
      </c>
      <c r="B28" s="4" t="s">
        <v>33</v>
      </c>
    </row>
    <row r="29" customFormat="false" ht="25.5" hidden="false" customHeight="true" outlineLevel="0" collapsed="false">
      <c r="A29" s="3" t="s">
        <v>34</v>
      </c>
      <c r="B29" s="4" t="s">
        <v>35</v>
      </c>
    </row>
    <row r="31" customFormat="false" ht="15" hidden="false" customHeight="false" outlineLevel="0" collapsed="false">
      <c r="A31" s="2" t="s">
        <v>36</v>
      </c>
      <c r="B31" s="2"/>
    </row>
    <row r="32" customFormat="false" ht="51.75" hidden="false" customHeight="true" outlineLevel="0" collapsed="false">
      <c r="A32" s="3"/>
      <c r="B32" s="4" t="s">
        <v>37</v>
      </c>
    </row>
    <row r="33" customFormat="false" ht="25.5" hidden="false" customHeight="true" outlineLevel="0" collapsed="false">
      <c r="A33" s="3"/>
      <c r="B33" s="4" t="s">
        <v>38</v>
      </c>
    </row>
    <row r="35" customFormat="false" ht="15" hidden="false" customHeight="false" outlineLevel="0" collapsed="false">
      <c r="A35" s="2" t="s">
        <v>39</v>
      </c>
      <c r="B35" s="2"/>
    </row>
    <row r="36" customFormat="false" ht="39" hidden="false" customHeight="true" outlineLevel="0" collapsed="false">
      <c r="A36" s="3"/>
      <c r="B36" s="4" t="s">
        <v>40</v>
      </c>
    </row>
    <row r="38" customFormat="false" ht="15" hidden="false" customHeight="false" outlineLevel="0" collapsed="false">
      <c r="A38" s="2" t="s">
        <v>41</v>
      </c>
      <c r="B38" s="2"/>
    </row>
    <row r="39" customFormat="false" ht="15" hidden="false" customHeight="true" outlineLevel="0" collapsed="false">
      <c r="A39" s="3" t="s">
        <v>42</v>
      </c>
      <c r="B39" s="4" t="s">
        <v>43</v>
      </c>
    </row>
    <row r="40" customFormat="false" ht="15" hidden="false" customHeight="true" outlineLevel="0" collapsed="false">
      <c r="A40" s="3" t="s">
        <v>44</v>
      </c>
      <c r="B40" s="4" t="s">
        <v>45</v>
      </c>
    </row>
    <row r="41" customFormat="false" ht="15" hidden="false" customHeight="true" outlineLevel="0" collapsed="false">
      <c r="A41" s="3" t="s">
        <v>46</v>
      </c>
      <c r="B41" s="4" t="s">
        <v>47</v>
      </c>
    </row>
    <row r="42" customFormat="false" ht="15" hidden="false" customHeight="true" outlineLevel="0" collapsed="false">
      <c r="A42" s="3" t="s">
        <v>48</v>
      </c>
      <c r="B42" s="4" t="s">
        <v>49</v>
      </c>
    </row>
    <row r="43" customFormat="false" ht="15" hidden="false" customHeight="true" outlineLevel="0" collapsed="false">
      <c r="A43" s="3" t="s">
        <v>50</v>
      </c>
      <c r="B43" s="4" t="s">
        <v>51</v>
      </c>
    </row>
    <row r="44" customFormat="false" ht="15" hidden="false" customHeight="true" outlineLevel="0" collapsed="false">
      <c r="A44" s="3" t="s">
        <v>52</v>
      </c>
      <c r="B44" s="4" t="s">
        <v>53</v>
      </c>
    </row>
    <row r="45" customFormat="false" ht="15" hidden="false" customHeight="true" outlineLevel="0" collapsed="false">
      <c r="A45" s="3" t="s">
        <v>54</v>
      </c>
      <c r="B45" s="4" t="s">
        <v>55</v>
      </c>
    </row>
  </sheetData>
  <mergeCells count="9">
    <mergeCell ref="A1:B1"/>
    <mergeCell ref="A4:B4"/>
    <mergeCell ref="A8:B8"/>
    <mergeCell ref="A12:B12"/>
    <mergeCell ref="A18:B18"/>
    <mergeCell ref="A24:B24"/>
    <mergeCell ref="A31:B31"/>
    <mergeCell ref="A35:B35"/>
    <mergeCell ref="A38: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8"/>
    <col collapsed="false" customWidth="true" hidden="false" outlineLevel="0" max="4" min="4" style="0" width="26"/>
    <col collapsed="false" customWidth="true" hidden="false" outlineLevel="0" max="5" min="5" style="0" width="21"/>
    <col collapsed="false" customWidth="true" hidden="false" outlineLevel="0" max="6" min="6" style="0" width="26"/>
    <col collapsed="false" customWidth="true" hidden="false" outlineLevel="0" max="7" min="7" style="0" width="21"/>
    <col collapsed="false" customWidth="true" hidden="false" outlineLevel="0" max="8" min="8" style="0" width="12"/>
    <col collapsed="false" customWidth="true" hidden="false" outlineLevel="0" max="9" min="9" style="0" width="10"/>
    <col collapsed="false" customWidth="true" hidden="false" outlineLevel="0" max="10" min="10" style="0" width="9"/>
    <col collapsed="false" customWidth="true" hidden="false" outlineLevel="0" max="13" min="11" style="0" width="11"/>
    <col collapsed="false" customWidth="true" hidden="false" outlineLevel="0" max="14" min="14" style="0" width="10"/>
    <col collapsed="false" customWidth="true" hidden="false" outlineLevel="0" max="15" min="15" style="0" width="22"/>
    <col collapsed="false" customWidth="true" hidden="false" outlineLevel="0" max="17" min="16" style="0" width="9"/>
    <col collapsed="false" customWidth="true" hidden="false" outlineLevel="0" max="18" min="18" style="0" width="52"/>
    <col collapsed="false" customWidth="true" hidden="false" outlineLevel="0" max="19" min="19" style="0" width="30"/>
  </cols>
  <sheetData>
    <row r="1" customFormat="false" ht="30" hidden="false" customHeight="true" outlineLevel="0" collapsed="false">
      <c r="A1" s="1" t="s">
        <v>56</v>
      </c>
      <c r="B1" s="1"/>
      <c r="C1" s="1"/>
      <c r="D1" s="1"/>
      <c r="E1" s="1"/>
      <c r="F1" s="1"/>
      <c r="G1" s="1"/>
      <c r="H1" s="1"/>
      <c r="I1" s="1"/>
      <c r="J1" s="1"/>
      <c r="K1" s="1"/>
      <c r="L1" s="1"/>
      <c r="M1" s="1"/>
      <c r="N1" s="1"/>
      <c r="O1" s="1"/>
      <c r="P1" s="1"/>
      <c r="Q1" s="1"/>
      <c r="R1" s="1"/>
      <c r="S1" s="1"/>
    </row>
    <row r="2" customFormat="false" ht="19.5" hidden="false" customHeight="true" outlineLevel="0" collapsed="false">
      <c r="A2" s="5" t="s">
        <v>57</v>
      </c>
      <c r="B2" s="5"/>
      <c r="C2" s="5"/>
      <c r="D2" s="5"/>
      <c r="E2" s="5"/>
      <c r="F2" s="5"/>
      <c r="G2" s="5"/>
      <c r="H2" s="5"/>
      <c r="I2" s="5"/>
      <c r="J2" s="5"/>
      <c r="K2" s="5"/>
      <c r="L2" s="5"/>
      <c r="M2" s="5"/>
      <c r="N2" s="5"/>
      <c r="O2" s="5"/>
      <c r="P2" s="5"/>
      <c r="Q2" s="5"/>
      <c r="R2" s="5"/>
      <c r="S2" s="5"/>
    </row>
    <row r="4" customFormat="false" ht="15" hidden="false" customHeight="true" outlineLevel="0" collapsed="false">
      <c r="A4" s="6" t="s">
        <v>58</v>
      </c>
      <c r="B4" s="6"/>
      <c r="C4" s="6"/>
      <c r="D4" s="6"/>
      <c r="E4" s="6"/>
      <c r="F4" s="6"/>
      <c r="G4" s="6"/>
      <c r="H4" s="6"/>
      <c r="I4" s="6"/>
      <c r="J4" s="6"/>
      <c r="K4" s="6"/>
      <c r="L4" s="6"/>
      <c r="M4" s="6"/>
      <c r="N4" s="6"/>
      <c r="O4" s="6"/>
      <c r="P4" s="6"/>
      <c r="Q4" s="6"/>
      <c r="R4" s="6"/>
      <c r="S4" s="6"/>
    </row>
    <row r="5" customFormat="false" ht="15" hidden="false" customHeight="false" outlineLevel="0" collapsed="false">
      <c r="A5" s="6"/>
      <c r="B5" s="6"/>
      <c r="C5" s="6"/>
      <c r="D5" s="6"/>
      <c r="E5" s="6"/>
      <c r="F5" s="6"/>
      <c r="G5" s="6"/>
      <c r="H5" s="6"/>
      <c r="I5" s="6"/>
      <c r="J5" s="6"/>
      <c r="K5" s="6"/>
      <c r="L5" s="6"/>
      <c r="M5" s="6"/>
      <c r="N5" s="6"/>
      <c r="O5" s="6"/>
      <c r="P5" s="6"/>
      <c r="Q5" s="6"/>
      <c r="R5" s="6"/>
      <c r="S5" s="6"/>
    </row>
    <row r="7" customFormat="false" ht="33.75" hidden="false" customHeight="true" outlineLevel="0" collapsed="false">
      <c r="A7" s="7" t="s">
        <v>59</v>
      </c>
      <c r="B7" s="7" t="s">
        <v>60</v>
      </c>
      <c r="C7" s="7" t="s">
        <v>61</v>
      </c>
      <c r="D7" s="7" t="s">
        <v>62</v>
      </c>
      <c r="E7" s="7" t="s">
        <v>63</v>
      </c>
      <c r="F7" s="7" t="s">
        <v>64</v>
      </c>
      <c r="G7" s="7" t="s">
        <v>63</v>
      </c>
      <c r="H7" s="7" t="s">
        <v>65</v>
      </c>
      <c r="I7" s="7" t="s">
        <v>66</v>
      </c>
      <c r="J7" s="7" t="s">
        <v>67</v>
      </c>
      <c r="K7" s="7" t="s">
        <v>68</v>
      </c>
      <c r="L7" s="7" t="s">
        <v>69</v>
      </c>
      <c r="M7" s="7" t="s">
        <v>70</v>
      </c>
      <c r="N7" s="7" t="s">
        <v>71</v>
      </c>
      <c r="O7" s="7" t="s">
        <v>72</v>
      </c>
      <c r="P7" s="7" t="s">
        <v>73</v>
      </c>
      <c r="Q7" s="7" t="s">
        <v>74</v>
      </c>
      <c r="R7" s="7" t="s">
        <v>75</v>
      </c>
      <c r="S7" s="7" t="s">
        <v>76</v>
      </c>
    </row>
    <row r="8" customFormat="false" ht="15" hidden="false" customHeight="false" outlineLevel="0" collapsed="false">
      <c r="A8" s="8" t="n">
        <v>1</v>
      </c>
      <c r="B8" s="9" t="n">
        <f aca="false">CLIMATE!B8</f>
        <v>1946</v>
      </c>
      <c r="C8" s="8" t="str">
        <f aca="false">CLIMATE!C8</f>
        <v>Winter</v>
      </c>
      <c r="D8" s="10" t="s">
        <v>77</v>
      </c>
      <c r="E8" s="10" t="s">
        <v>78</v>
      </c>
      <c r="F8" s="10" t="s">
        <v>79</v>
      </c>
      <c r="G8" s="10"/>
      <c r="H8" s="10" t="n">
        <v>0</v>
      </c>
      <c r="I8" s="11" t="n">
        <f aca="false">ENGINE!$BO8</f>
        <v>89.8745667378427</v>
      </c>
      <c r="J8" s="11" t="n">
        <f aca="false">ENGINE!$BK8</f>
        <v>29.792581</v>
      </c>
      <c r="K8" s="12" t="n">
        <f aca="false">ENGINE!$AY8</f>
        <v>100</v>
      </c>
      <c r="L8" s="12" t="n">
        <f aca="false">ENGINE!$BG8</f>
        <v>95.5965758</v>
      </c>
      <c r="M8" s="12" t="n">
        <f aca="false">ENGINE!$BH8</f>
        <v>108.443567037673</v>
      </c>
      <c r="N8" s="12" t="n">
        <f aca="false">ENGINE!$BI8</f>
        <v>92.1770319820224</v>
      </c>
      <c r="O8" s="13" t="str">
        <f aca="false">INDEX(REGIONS!$B$7:$B$14,MATCH(MIN(ENGINE!$AY8:$BF8),ENGINE!$AY8:$BF8,0))</f>
        <v>Eastern Australia</v>
      </c>
      <c r="P8" s="12" t="n">
        <f aca="false">MIN(ENGINE!$AY8:$BF8)</f>
        <v>77.41562</v>
      </c>
      <c r="Q8" s="11" t="n">
        <f aca="false">ENGINE!$BQ8</f>
        <v>0</v>
      </c>
      <c r="R8" s="13" t="str">
        <f aca="false">INDEX(ASSUMPTIONS!$B$28:$B$34,MATCH(ENGINE!$BQ8,ASSUMPTIONS!$A$28:$A$34,1))</f>
        <v>Nothing. No one is looking.</v>
      </c>
      <c r="S8" s="13" t="str">
        <f aca="false">IF(ENGINE!$BQ8&gt;=200,"EXPOSED — run over",IF(ENGINE!$BO8&lt;0,"INSOLVENT — programme suspended",IF(AND($A8&gt;8,ENGINE!$BK8&lt;=ASSUMPTIONS!$B$12+1),"Committee is asking what you are for","running")))</f>
        <v>running</v>
      </c>
    </row>
    <row r="9" customFormat="false" ht="15" hidden="false" customHeight="false" outlineLevel="0" collapsed="false">
      <c r="A9" s="13" t="n">
        <v>2</v>
      </c>
      <c r="B9" s="11" t="n">
        <f aca="false">CLIMATE!B9</f>
        <v>1946</v>
      </c>
      <c r="C9" s="13" t="str">
        <f aca="false">CLIMATE!C9</f>
        <v>Spring</v>
      </c>
      <c r="D9" s="10" t="s">
        <v>79</v>
      </c>
      <c r="E9" s="10"/>
      <c r="F9" s="10" t="s">
        <v>79</v>
      </c>
      <c r="G9" s="10"/>
      <c r="H9" s="10" t="n">
        <v>0</v>
      </c>
      <c r="I9" s="11" t="n">
        <f aca="false">ENGINE!$BO9</f>
        <v>98.8334684137193</v>
      </c>
      <c r="J9" s="11" t="n">
        <f aca="false">ENGINE!$BK9</f>
        <v>33.286162</v>
      </c>
      <c r="K9" s="12" t="n">
        <f aca="false">ENGINE!$AY9</f>
        <v>100</v>
      </c>
      <c r="L9" s="12" t="n">
        <f aca="false">ENGINE!$BG9</f>
        <v>95.885337</v>
      </c>
      <c r="M9" s="12" t="n">
        <f aca="false">ENGINE!$BH9</f>
        <v>107.856430155653</v>
      </c>
      <c r="N9" s="12" t="n">
        <f aca="false">ENGINE!$BI9</f>
        <v>91.6779656323051</v>
      </c>
      <c r="O9" s="13" t="str">
        <f aca="false">INDEX(REGIONS!$B$7:$B$14,MATCH(MIN(ENGINE!$AY9:$BF9),ENGINE!$AY9:$BF9,0))</f>
        <v>Eastern Australia</v>
      </c>
      <c r="P9" s="12" t="n">
        <f aca="false">MIN(ENGINE!$AY9:$BF9)</f>
        <v>74.55822</v>
      </c>
      <c r="Q9" s="11" t="n">
        <f aca="false">ENGINE!$BQ9</f>
        <v>2.11202881440036</v>
      </c>
      <c r="R9" s="13" t="str">
        <f aca="false">INDEX(ASSUMPTIONS!$B$28:$B$34,MATCH(ENGINE!$BQ9,ASSUMPTIONS!$A$28:$A$34,1))</f>
        <v>Nothing. No one is looking.</v>
      </c>
      <c r="S9" s="13" t="str">
        <f aca="false">IF(ENGINE!$BQ9&gt;=200,"EXPOSED — run over",IF(ENGINE!$BO9&lt;0,"INSOLVENT — programme suspended",IF(AND($A9&gt;8,ENGINE!$BK9&lt;=ASSUMPTIONS!$B$12+1),"Committee is asking what you are for","running")))</f>
        <v>running</v>
      </c>
    </row>
    <row r="10" customFormat="false" ht="15" hidden="false" customHeight="false" outlineLevel="0" collapsed="false">
      <c r="A10" s="13" t="n">
        <v>3</v>
      </c>
      <c r="B10" s="11" t="n">
        <f aca="false">CLIMATE!B10</f>
        <v>1946</v>
      </c>
      <c r="C10" s="13" t="str">
        <f aca="false">CLIMATE!C10</f>
        <v>Summer</v>
      </c>
      <c r="D10" s="10" t="s">
        <v>79</v>
      </c>
      <c r="E10" s="10"/>
      <c r="F10" s="10" t="s">
        <v>79</v>
      </c>
      <c r="G10" s="10"/>
      <c r="H10" s="10" t="n">
        <v>0</v>
      </c>
      <c r="I10" s="11" t="n">
        <f aca="false">ENGINE!$BO10</f>
        <v>106.645582922334</v>
      </c>
      <c r="J10" s="11" t="n">
        <f aca="false">ENGINE!$BK10</f>
        <v>31.854718</v>
      </c>
      <c r="K10" s="12" t="n">
        <f aca="false">ENGINE!$AY10</f>
        <v>100</v>
      </c>
      <c r="L10" s="12" t="n">
        <f aca="false">ENGINE!$BG10</f>
        <v>95.2069012</v>
      </c>
      <c r="M10" s="12" t="n">
        <f aca="false">ENGINE!$BH10</f>
        <v>109.243806947205</v>
      </c>
      <c r="N10" s="12" t="n">
        <f aca="false">ENGINE!$BI10</f>
        <v>92.8572359051246</v>
      </c>
      <c r="O10" s="13" t="str">
        <f aca="false">INDEX(REGIONS!$B$7:$B$14,MATCH(MIN(ENGINE!$AY10:$BF10),ENGINE!$AY10:$BF10,0))</f>
        <v>Eastern Australia</v>
      </c>
      <c r="P10" s="12" t="n">
        <f aca="false">MIN(ENGINE!$AY10:$BF10)</f>
        <v>73.23508</v>
      </c>
      <c r="Q10" s="11" t="n">
        <f aca="false">ENGINE!$BQ10</f>
        <v>2.02754766182434</v>
      </c>
      <c r="R10" s="13" t="str">
        <f aca="false">INDEX(ASSUMPTIONS!$B$28:$B$34,MATCH(ENGINE!$BQ10,ASSUMPTIONS!$A$28:$A$34,1))</f>
        <v>Nothing. No one is looking.</v>
      </c>
      <c r="S10" s="13" t="str">
        <f aca="false">IF(ENGINE!$BQ10&gt;=200,"EXPOSED — run over",IF(ENGINE!$BO10&lt;0,"INSOLVENT — programme suspended",IF(AND($A10&gt;8,ENGINE!$BK10&lt;=ASSUMPTIONS!$B$12+1),"Committee is asking what you are for","running")))</f>
        <v>running</v>
      </c>
    </row>
    <row r="11" customFormat="false" ht="15" hidden="false" customHeight="false" outlineLevel="0" collapsed="false">
      <c r="A11" s="13" t="n">
        <v>4</v>
      </c>
      <c r="B11" s="11" t="n">
        <f aca="false">CLIMATE!B11</f>
        <v>1946</v>
      </c>
      <c r="C11" s="13" t="str">
        <f aca="false">CLIMATE!C11</f>
        <v>Autumn</v>
      </c>
      <c r="D11" s="10" t="s">
        <v>79</v>
      </c>
      <c r="E11" s="10"/>
      <c r="F11" s="10" t="s">
        <v>79</v>
      </c>
      <c r="G11" s="10"/>
      <c r="H11" s="10" t="n">
        <v>0</v>
      </c>
      <c r="I11" s="11" t="n">
        <f aca="false">ENGINE!$BO11</f>
        <v>112.3714529045</v>
      </c>
      <c r="J11" s="11" t="n">
        <f aca="false">ENGINE!$BK11</f>
        <v>29.505952</v>
      </c>
      <c r="K11" s="12" t="n">
        <f aca="false">ENGINE!$AY11</f>
        <v>100</v>
      </c>
      <c r="L11" s="12" t="n">
        <f aca="false">ENGINE!$BG11</f>
        <v>95.0759298</v>
      </c>
      <c r="M11" s="12" t="n">
        <f aca="false">ENGINE!$BH11</f>
        <v>109.514835119271</v>
      </c>
      <c r="N11" s="12" t="n">
        <f aca="false">ENGINE!$BI11</f>
        <v>93.0876098513807</v>
      </c>
      <c r="O11" s="13" t="str">
        <f aca="false">INDEX(REGIONS!$B$7:$B$14,MATCH(MIN(ENGINE!$AY11:$BF11),ENGINE!$AY11:$BF11,0))</f>
        <v>Sahel</v>
      </c>
      <c r="P11" s="12" t="n">
        <f aca="false">MIN(ENGINE!$AY11:$BF11)</f>
        <v>86.90328</v>
      </c>
      <c r="Q11" s="11" t="n">
        <f aca="false">ENGINE!$BQ11</f>
        <v>1.94644575535137</v>
      </c>
      <c r="R11" s="13" t="str">
        <f aca="false">INDEX(ASSUMPTIONS!$B$28:$B$34,MATCH(ENGINE!$BQ11,ASSUMPTIONS!$A$28:$A$34,1))</f>
        <v>Nothing. No one is looking.</v>
      </c>
      <c r="S11" s="13" t="str">
        <f aca="false">IF(ENGINE!$BQ11&gt;=200,"EXPOSED — run over",IF(ENGINE!$BO11&lt;0,"INSOLVENT — programme suspended",IF(AND($A11&gt;8,ENGINE!$BK11&lt;=ASSUMPTIONS!$B$12+1),"Committee is asking what you are for","running")))</f>
        <v>running</v>
      </c>
    </row>
    <row r="12" customFormat="false" ht="15" hidden="false" customHeight="false" outlineLevel="0" collapsed="false">
      <c r="A12" s="8" t="n">
        <v>5</v>
      </c>
      <c r="B12" s="9" t="n">
        <f aca="false">CLIMATE!B12</f>
        <v>1947</v>
      </c>
      <c r="C12" s="8" t="str">
        <f aca="false">CLIMATE!C12</f>
        <v>Winter</v>
      </c>
      <c r="D12" s="10" t="s">
        <v>79</v>
      </c>
      <c r="E12" s="10"/>
      <c r="F12" s="10" t="s">
        <v>79</v>
      </c>
      <c r="G12" s="10"/>
      <c r="H12" s="10" t="n">
        <v>0</v>
      </c>
      <c r="I12" s="11" t="n">
        <f aca="false">ENGINE!$BO12</f>
        <v>117.207316003231</v>
      </c>
      <c r="J12" s="11" t="n">
        <f aca="false">ENGINE!$BK12</f>
        <v>28.68355</v>
      </c>
      <c r="K12" s="12" t="n">
        <f aca="false">ENGINE!$AY12</f>
        <v>97.1832</v>
      </c>
      <c r="L12" s="12" t="n">
        <f aca="false">ENGINE!$BG12</f>
        <v>94.2834024</v>
      </c>
      <c r="M12" s="12" t="n">
        <f aca="false">ENGINE!$BH12</f>
        <v>111.177410986507</v>
      </c>
      <c r="N12" s="12" t="n">
        <f aca="false">ENGINE!$BI12</f>
        <v>91.8389008227629</v>
      </c>
      <c r="O12" s="13" t="str">
        <f aca="false">INDEX(REGIONS!$B$7:$B$14,MATCH(MIN(ENGINE!$AY12:$BF12),ENGINE!$AY12:$BF12,0))</f>
        <v>Horn of Africa</v>
      </c>
      <c r="P12" s="12" t="n">
        <f aca="false">MIN(ENGINE!$AY12:$BF12)</f>
        <v>80.6744</v>
      </c>
      <c r="Q12" s="11" t="n">
        <f aca="false">ENGINE!$BQ12</f>
        <v>1.86858792513731</v>
      </c>
      <c r="R12" s="13" t="str">
        <f aca="false">INDEX(ASSUMPTIONS!$B$28:$B$34,MATCH(ENGINE!$BQ12,ASSUMPTIONS!$A$28:$A$34,1))</f>
        <v>Nothing. No one is looking.</v>
      </c>
      <c r="S12" s="13" t="str">
        <f aca="false">IF(ENGINE!$BQ12&gt;=200,"EXPOSED — run over",IF(ENGINE!$BO12&lt;0,"INSOLVENT — programme suspended",IF(AND($A12&gt;8,ENGINE!$BK12&lt;=ASSUMPTIONS!$B$12+1),"Committee is asking what you are for","running")))</f>
        <v>running</v>
      </c>
    </row>
    <row r="13" customFormat="false" ht="15" hidden="false" customHeight="false" outlineLevel="0" collapsed="false">
      <c r="A13" s="13" t="n">
        <v>6</v>
      </c>
      <c r="B13" s="11" t="n">
        <f aca="false">CLIMATE!B13</f>
        <v>1947</v>
      </c>
      <c r="C13" s="13" t="str">
        <f aca="false">CLIMATE!C13</f>
        <v>Spring</v>
      </c>
      <c r="D13" s="10" t="s">
        <v>79</v>
      </c>
      <c r="E13" s="10"/>
      <c r="F13" s="10" t="s">
        <v>79</v>
      </c>
      <c r="G13" s="10"/>
      <c r="H13" s="10" t="n">
        <v>0</v>
      </c>
      <c r="I13" s="11" t="n">
        <f aca="false">ENGINE!$BO13</f>
        <v>124.661962990452</v>
      </c>
      <c r="J13" s="11" t="n">
        <f aca="false">ENGINE!$BK13</f>
        <v>31.399228</v>
      </c>
      <c r="K13" s="12" t="n">
        <f aca="false">ENGINE!$AY13</f>
        <v>98.3774</v>
      </c>
      <c r="L13" s="12" t="n">
        <f aca="false">ENGINE!$BG13</f>
        <v>94.0996188</v>
      </c>
      <c r="M13" s="12" t="n">
        <f aca="false">ENGINE!$BH13</f>
        <v>111.568564340886</v>
      </c>
      <c r="N13" s="12" t="n">
        <f aca="false">ENGINE!$BI13</f>
        <v>93.2945148935075</v>
      </c>
      <c r="O13" s="13" t="str">
        <f aca="false">INDEX(REGIONS!$B$7:$B$14,MATCH(MIN(ENGINE!$AY13:$BF13),ENGINE!$AY13:$BF13,0))</f>
        <v>South Asia</v>
      </c>
      <c r="P13" s="12" t="n">
        <f aca="false">MIN(ENGINE!$AY13:$BF13)</f>
        <v>84.95392</v>
      </c>
      <c r="Q13" s="11" t="n">
        <f aca="false">ENGINE!$BQ13</f>
        <v>1.79384440813182</v>
      </c>
      <c r="R13" s="13" t="str">
        <f aca="false">INDEX(ASSUMPTIONS!$B$28:$B$34,MATCH(ENGINE!$BQ13,ASSUMPTIONS!$A$28:$A$34,1))</f>
        <v>Nothing. No one is looking.</v>
      </c>
      <c r="S13" s="13" t="str">
        <f aca="false">IF(ENGINE!$BQ13&gt;=200,"EXPOSED — run over",IF(ENGINE!$BO13&lt;0,"INSOLVENT — programme suspended",IF(AND($A13&gt;8,ENGINE!$BK13&lt;=ASSUMPTIONS!$B$12+1),"Committee is asking what you are for","running")))</f>
        <v>running</v>
      </c>
    </row>
    <row r="14" customFormat="false" ht="15" hidden="false" customHeight="false" outlineLevel="0" collapsed="false">
      <c r="A14" s="13" t="n">
        <v>7</v>
      </c>
      <c r="B14" s="11" t="n">
        <f aca="false">CLIMATE!B14</f>
        <v>1947</v>
      </c>
      <c r="C14" s="13" t="str">
        <f aca="false">CLIMATE!C14</f>
        <v>Summer</v>
      </c>
      <c r="D14" s="10" t="s">
        <v>79</v>
      </c>
      <c r="E14" s="10"/>
      <c r="F14" s="10" t="s">
        <v>79</v>
      </c>
      <c r="G14" s="10"/>
      <c r="H14" s="10" t="n">
        <v>0</v>
      </c>
      <c r="I14" s="11" t="n">
        <f aca="false">ENGINE!$BO14</f>
        <v>128.565021417962</v>
      </c>
      <c r="J14" s="11" t="n">
        <f aca="false">ENGINE!$BK14</f>
        <v>28.037191</v>
      </c>
      <c r="K14" s="12" t="n">
        <f aca="false">ENGINE!$AY14</f>
        <v>100</v>
      </c>
      <c r="L14" s="12" t="n">
        <f aca="false">ENGINE!$BG14</f>
        <v>97.5304714</v>
      </c>
      <c r="M14" s="12" t="n">
        <f aca="false">ENGINE!$BH14</f>
        <v>104.603789485384</v>
      </c>
      <c r="N14" s="12" t="n">
        <f aca="false">ENGINE!$BI14</f>
        <v>88.9132210625761</v>
      </c>
      <c r="O14" s="13" t="str">
        <f aca="false">INDEX(REGIONS!$B$7:$B$14,MATCH(MIN(ENGINE!$AY14:$BF14),ENGINE!$AY14:$BF14,0))</f>
        <v>Eastern Australia</v>
      </c>
      <c r="P14" s="12" t="n">
        <f aca="false">MIN(ENGINE!$AY14:$BF14)</f>
        <v>84.12414</v>
      </c>
      <c r="Q14" s="11" t="n">
        <f aca="false">ENGINE!$BQ14</f>
        <v>1.72209063180655</v>
      </c>
      <c r="R14" s="13" t="str">
        <f aca="false">INDEX(ASSUMPTIONS!$B$28:$B$34,MATCH(ENGINE!$BQ14,ASSUMPTIONS!$A$28:$A$34,1))</f>
        <v>Nothing. No one is looking.</v>
      </c>
      <c r="S14" s="13" t="str">
        <f aca="false">IF(ENGINE!$BQ14&gt;=200,"EXPOSED — run over",IF(ENGINE!$BO14&lt;0,"INSOLVENT — programme suspended",IF(AND($A14&gt;8,ENGINE!$BK14&lt;=ASSUMPTIONS!$B$12+1),"Committee is asking what you are for","running")))</f>
        <v>running</v>
      </c>
    </row>
    <row r="15" customFormat="false" ht="15" hidden="false" customHeight="false" outlineLevel="0" collapsed="false">
      <c r="A15" s="13" t="n">
        <v>8</v>
      </c>
      <c r="B15" s="11" t="n">
        <f aca="false">CLIMATE!B15</f>
        <v>1947</v>
      </c>
      <c r="C15" s="13" t="str">
        <f aca="false">CLIMATE!C15</f>
        <v>Autumn</v>
      </c>
      <c r="D15" s="10" t="s">
        <v>79</v>
      </c>
      <c r="E15" s="10"/>
      <c r="F15" s="10" t="s">
        <v>79</v>
      </c>
      <c r="G15" s="10"/>
      <c r="H15" s="10" t="n">
        <v>0</v>
      </c>
      <c r="I15" s="11" t="n">
        <f aca="false">ENGINE!$BO15</f>
        <v>132.125306184981</v>
      </c>
      <c r="J15" s="11" t="n">
        <f aca="false">ENGINE!$BK15</f>
        <v>28</v>
      </c>
      <c r="K15" s="12" t="n">
        <f aca="false">ENGINE!$AY15</f>
        <v>97.543</v>
      </c>
      <c r="L15" s="12" t="n">
        <f aca="false">ENGINE!$BG15</f>
        <v>97.776814</v>
      </c>
      <c r="M15" s="12" t="n">
        <f aca="false">ENGINE!$BH15</f>
        <v>104.129890698978</v>
      </c>
      <c r="N15" s="12" t="n">
        <f aca="false">ENGINE!$BI15</f>
        <v>86.3357063918288</v>
      </c>
      <c r="O15" s="13" t="str">
        <f aca="false">INDEX(REGIONS!$B$7:$B$14,MATCH(MIN(ENGINE!$AY15:$BF15),ENGINE!$AY15:$BF15,0))</f>
        <v>Southeast Asia</v>
      </c>
      <c r="P15" s="12" t="n">
        <f aca="false">MIN(ENGINE!$AY15:$BF15)</f>
        <v>94.60384</v>
      </c>
      <c r="Q15" s="11" t="n">
        <f aca="false">ENGINE!$BQ15</f>
        <v>1.65320700653429</v>
      </c>
      <c r="R15" s="13" t="str">
        <f aca="false">INDEX(ASSUMPTIONS!$B$28:$B$34,MATCH(ENGINE!$BQ15,ASSUMPTIONS!$A$28:$A$34,1))</f>
        <v>Nothing. No one is looking.</v>
      </c>
      <c r="S15" s="13" t="str">
        <f aca="false">IF(ENGINE!$BQ15&gt;=200,"EXPOSED — run over",IF(ENGINE!$BO15&lt;0,"INSOLVENT — programme suspended",IF(AND($A15&gt;8,ENGINE!$BK15&lt;=ASSUMPTIONS!$B$12+1),"Committee is asking what you are for","running")))</f>
        <v>running</v>
      </c>
    </row>
    <row r="16" customFormat="false" ht="15" hidden="false" customHeight="false" outlineLevel="0" collapsed="false">
      <c r="A16" s="8" t="n">
        <v>9</v>
      </c>
      <c r="B16" s="9" t="n">
        <f aca="false">CLIMATE!B16</f>
        <v>1948</v>
      </c>
      <c r="C16" s="8" t="str">
        <f aca="false">CLIMATE!C16</f>
        <v>Winter</v>
      </c>
      <c r="D16" s="10" t="s">
        <v>79</v>
      </c>
      <c r="E16" s="10"/>
      <c r="F16" s="10" t="s">
        <v>79</v>
      </c>
      <c r="G16" s="10"/>
      <c r="H16" s="10" t="n">
        <v>0</v>
      </c>
      <c r="I16" s="11" t="n">
        <f aca="false">ENGINE!$BO16</f>
        <v>136.704186141619</v>
      </c>
      <c r="J16" s="11" t="n">
        <f aca="false">ENGINE!$BK16</f>
        <v>29.17999</v>
      </c>
      <c r="K16" s="12" t="n">
        <f aca="false">ENGINE!$AY16</f>
        <v>100</v>
      </c>
      <c r="L16" s="12" t="n">
        <f aca="false">ENGINE!$BG16</f>
        <v>99.3689696</v>
      </c>
      <c r="M16" s="12" t="n">
        <f aca="false">ENGINE!$BH16</f>
        <v>101.145970163122</v>
      </c>
      <c r="N16" s="12" t="n">
        <f aca="false">ENGINE!$BI16</f>
        <v>85.9740746386534</v>
      </c>
      <c r="O16" s="13" t="str">
        <f aca="false">INDEX(REGIONS!$B$7:$B$14,MATCH(MIN(ENGINE!$AY16:$BF16),ENGINE!$AY16:$BF16,0))</f>
        <v>Black Sea Steppe</v>
      </c>
      <c r="P16" s="12" t="n">
        <f aca="false">MIN(ENGINE!$AY16:$BF16)</f>
        <v>96.05606</v>
      </c>
      <c r="Q16" s="11" t="n">
        <f aca="false">ENGINE!$BQ16</f>
        <v>1.58707872627291</v>
      </c>
      <c r="R16" s="13" t="str">
        <f aca="false">INDEX(ASSUMPTIONS!$B$28:$B$34,MATCH(ENGINE!$BQ16,ASSUMPTIONS!$A$28:$A$34,1))</f>
        <v>Nothing. No one is looking.</v>
      </c>
      <c r="S16" s="13" t="str">
        <f aca="false">IF(ENGINE!$BQ16&gt;=200,"EXPOSED — run over",IF(ENGINE!$BO16&lt;0,"INSOLVENT — programme suspended",IF(AND($A16&gt;8,ENGINE!$BK16&lt;=ASSUMPTIONS!$B$12+1),"Committee is asking what you are for","running")))</f>
        <v>running</v>
      </c>
    </row>
    <row r="17" customFormat="false" ht="15" hidden="false" customHeight="false" outlineLevel="0" collapsed="false">
      <c r="A17" s="13" t="n">
        <v>10</v>
      </c>
      <c r="B17" s="11" t="n">
        <f aca="false">CLIMATE!B17</f>
        <v>1948</v>
      </c>
      <c r="C17" s="13" t="str">
        <f aca="false">CLIMATE!C17</f>
        <v>Spring</v>
      </c>
      <c r="D17" s="10" t="s">
        <v>79</v>
      </c>
      <c r="E17" s="10"/>
      <c r="F17" s="10" t="s">
        <v>79</v>
      </c>
      <c r="G17" s="10"/>
      <c r="H17" s="10" t="n">
        <v>0</v>
      </c>
      <c r="I17" s="11" t="n">
        <f aca="false">ENGINE!$BO17</f>
        <v>149.406702951569</v>
      </c>
      <c r="J17" s="11" t="n">
        <f aca="false">ENGINE!$BK17</f>
        <v>38.180086</v>
      </c>
      <c r="K17" s="12" t="n">
        <f aca="false">ENGINE!$AY17</f>
        <v>100</v>
      </c>
      <c r="L17" s="12" t="n">
        <f aca="false">ENGINE!$BG17</f>
        <v>99.243176</v>
      </c>
      <c r="M17" s="12" t="n">
        <f aca="false">ENGINE!$BH17</f>
        <v>101.376856960286</v>
      </c>
      <c r="N17" s="12" t="n">
        <f aca="false">ENGINE!$BI17</f>
        <v>86.1703284162434</v>
      </c>
      <c r="O17" s="13" t="str">
        <f aca="false">INDEX(REGIONS!$B$7:$B$14,MATCH(MIN(ENGINE!$AY17:$BF17),ENGINE!$AY17:$BF17,0))</f>
        <v>La Plata Basin</v>
      </c>
      <c r="P17" s="12" t="n">
        <f aca="false">MIN(ENGINE!$AY17:$BF17)</f>
        <v>96.696</v>
      </c>
      <c r="Q17" s="11" t="n">
        <f aca="false">ENGINE!$BQ17</f>
        <v>1.523595577222</v>
      </c>
      <c r="R17" s="13" t="str">
        <f aca="false">INDEX(ASSUMPTIONS!$B$28:$B$34,MATCH(ENGINE!$BQ17,ASSUMPTIONS!$A$28:$A$34,1))</f>
        <v>Nothing. No one is looking.</v>
      </c>
      <c r="S17" s="13" t="str">
        <f aca="false">IF(ENGINE!$BQ17&gt;=200,"EXPOSED — run over",IF(ENGINE!$BO17&lt;0,"INSOLVENT — programme suspended",IF(AND($A17&gt;8,ENGINE!$BK17&lt;=ASSUMPTIONS!$B$12+1),"Committee is asking what you are for","running")))</f>
        <v>running</v>
      </c>
    </row>
    <row r="18" customFormat="false" ht="15" hidden="false" customHeight="false" outlineLevel="0" collapsed="false">
      <c r="A18" s="13" t="n">
        <v>11</v>
      </c>
      <c r="B18" s="11" t="n">
        <f aca="false">CLIMATE!B18</f>
        <v>1948</v>
      </c>
      <c r="C18" s="13" t="str">
        <f aca="false">CLIMATE!C18</f>
        <v>Summer</v>
      </c>
      <c r="D18" s="10" t="s">
        <v>79</v>
      </c>
      <c r="E18" s="10"/>
      <c r="F18" s="10" t="s">
        <v>79</v>
      </c>
      <c r="G18" s="10"/>
      <c r="H18" s="10" t="n">
        <v>0</v>
      </c>
      <c r="I18" s="11" t="n">
        <f aca="false">ENGINE!$BO18</f>
        <v>156.007862877929</v>
      </c>
      <c r="J18" s="11" t="n">
        <f aca="false">ENGINE!$BK18</f>
        <v>31.712149</v>
      </c>
      <c r="K18" s="12" t="n">
        <f aca="false">ENGINE!$AY18</f>
        <v>92.8992</v>
      </c>
      <c r="L18" s="12" t="n">
        <f aca="false">ENGINE!$BG18</f>
        <v>96.729292</v>
      </c>
      <c r="M18" s="12" t="n">
        <f aca="false">ENGINE!$BH18</f>
        <v>106.16847611639</v>
      </c>
      <c r="N18" s="12" t="n">
        <f aca="false">ENGINE!$BI18</f>
        <v>83.8352152196698</v>
      </c>
      <c r="O18" s="13" t="str">
        <f aca="false">INDEX(REGIONS!$B$7:$B$14,MATCH(MIN(ENGINE!$AY18:$BF18),ENGINE!$AY18:$BF18,0))</f>
        <v>La Plata Basin</v>
      </c>
      <c r="P18" s="12" t="n">
        <f aca="false">MIN(ENGINE!$AY18:$BF18)</f>
        <v>89.402</v>
      </c>
      <c r="Q18" s="11" t="n">
        <f aca="false">ENGINE!$BQ18</f>
        <v>1.46265175413312</v>
      </c>
      <c r="R18" s="13" t="str">
        <f aca="false">INDEX(ASSUMPTIONS!$B$28:$B$34,MATCH(ENGINE!$BQ18,ASSUMPTIONS!$A$28:$A$34,1))</f>
        <v>Nothing. No one is looking.</v>
      </c>
      <c r="S18" s="13" t="str">
        <f aca="false">IF(ENGINE!$BQ18&gt;=200,"EXPOSED — run over",IF(ENGINE!$BO18&lt;0,"INSOLVENT — programme suspended",IF(AND($A18&gt;8,ENGINE!$BK18&lt;=ASSUMPTIONS!$B$12+1),"Committee is asking what you are for","running")))</f>
        <v>running</v>
      </c>
    </row>
    <row r="19" customFormat="false" ht="15" hidden="false" customHeight="false" outlineLevel="0" collapsed="false">
      <c r="A19" s="13" t="n">
        <v>12</v>
      </c>
      <c r="B19" s="11" t="n">
        <f aca="false">CLIMATE!B19</f>
        <v>1948</v>
      </c>
      <c r="C19" s="13" t="str">
        <f aca="false">CLIMATE!C19</f>
        <v>Autumn</v>
      </c>
      <c r="D19" s="10" t="s">
        <v>79</v>
      </c>
      <c r="E19" s="10"/>
      <c r="F19" s="10" t="s">
        <v>79</v>
      </c>
      <c r="G19" s="10"/>
      <c r="H19" s="10" t="n">
        <v>0</v>
      </c>
      <c r="I19" s="11" t="n">
        <f aca="false">ENGINE!$BO19</f>
        <v>159.304887403701</v>
      </c>
      <c r="J19" s="11" t="n">
        <f aca="false">ENGINE!$BK19</f>
        <v>28</v>
      </c>
      <c r="K19" s="12" t="n">
        <f aca="false">ENGINE!$AY19</f>
        <v>96.255</v>
      </c>
      <c r="L19" s="12" t="n">
        <f aca="false">ENGINE!$BG19</f>
        <v>98.4552596</v>
      </c>
      <c r="M19" s="12" t="n">
        <f aca="false">ENGINE!$BH19</f>
        <v>102.841864346976</v>
      </c>
      <c r="N19" s="12" t="n">
        <f aca="false">ENGINE!$BI19</f>
        <v>84.1418710481042</v>
      </c>
      <c r="O19" s="13" t="str">
        <f aca="false">INDEX(REGIONS!$B$7:$B$14,MATCH(MIN(ENGINE!$AY19:$BF19),ENGINE!$AY19:$BF19,0))</f>
        <v>Horn of Africa</v>
      </c>
      <c r="P19" s="12" t="n">
        <f aca="false">MIN(ENGINE!$AY19:$BF19)</f>
        <v>95.19016</v>
      </c>
      <c r="Q19" s="11" t="n">
        <f aca="false">ENGINE!$BQ19</f>
        <v>1.40414568396779</v>
      </c>
      <c r="R19" s="13" t="str">
        <f aca="false">INDEX(ASSUMPTIONS!$B$28:$B$34,MATCH(ENGINE!$BQ19,ASSUMPTIONS!$A$28:$A$34,1))</f>
        <v>Nothing. No one is looking.</v>
      </c>
      <c r="S19" s="13" t="str">
        <f aca="false">IF(ENGINE!$BQ19&gt;=200,"EXPOSED — run over",IF(ENGINE!$BO19&lt;0,"INSOLVENT — programme suspended",IF(AND($A19&gt;8,ENGINE!$BK19&lt;=ASSUMPTIONS!$B$12+1),"Committee is asking what you are for","running")))</f>
        <v>Committee is asking what you are for</v>
      </c>
    </row>
    <row r="20" customFormat="false" ht="15" hidden="false" customHeight="false" outlineLevel="0" collapsed="false">
      <c r="A20" s="8" t="n">
        <v>13</v>
      </c>
      <c r="B20" s="9" t="n">
        <f aca="false">CLIMATE!B20</f>
        <v>1949</v>
      </c>
      <c r="C20" s="8" t="str">
        <f aca="false">CLIMATE!C20</f>
        <v>Winter</v>
      </c>
      <c r="D20" s="10" t="s">
        <v>79</v>
      </c>
      <c r="E20" s="10"/>
      <c r="F20" s="10" t="s">
        <v>79</v>
      </c>
      <c r="G20" s="10"/>
      <c r="H20" s="10" t="n">
        <v>0</v>
      </c>
      <c r="I20" s="11" t="n">
        <f aca="false">ENGINE!$BO20</f>
        <v>162.986672679036</v>
      </c>
      <c r="J20" s="11" t="n">
        <f aca="false">ENGINE!$BK20</f>
        <v>28</v>
      </c>
      <c r="K20" s="12" t="n">
        <f aca="false">ENGINE!$AY20</f>
        <v>94.946</v>
      </c>
      <c r="L20" s="12" t="n">
        <f aca="false">ENGINE!$BG20</f>
        <v>95.700012</v>
      </c>
      <c r="M20" s="12" t="n">
        <f aca="false">ENGINE!$BH20</f>
        <v>108.232680406313</v>
      </c>
      <c r="N20" s="12" t="n">
        <f aca="false">ENGINE!$BI20</f>
        <v>87.3482106277915</v>
      </c>
      <c r="O20" s="13" t="str">
        <f aca="false">INDEX(REGIONS!$B$7:$B$14,MATCH(MIN(ENGINE!$AY20:$BF20),ENGINE!$AY20:$BF20,0))</f>
        <v>Horn of Africa</v>
      </c>
      <c r="P20" s="12" t="n">
        <f aca="false">MIN(ENGINE!$AY20:$BF20)</f>
        <v>81.93272</v>
      </c>
      <c r="Q20" s="11" t="n">
        <f aca="false">ENGINE!$BQ20</f>
        <v>1.34797985660908</v>
      </c>
      <c r="R20" s="13" t="str">
        <f aca="false">INDEX(ASSUMPTIONS!$B$28:$B$34,MATCH(ENGINE!$BQ20,ASSUMPTIONS!$A$28:$A$34,1))</f>
        <v>Nothing. No one is looking.</v>
      </c>
      <c r="S20" s="13" t="str">
        <f aca="false">IF(ENGINE!$BQ20&gt;=200,"EXPOSED — run over",IF(ENGINE!$BO20&lt;0,"INSOLVENT — programme suspended",IF(AND($A20&gt;8,ENGINE!$BK20&lt;=ASSUMPTIONS!$B$12+1),"Committee is asking what you are for","running")))</f>
        <v>Committee is asking what you are for</v>
      </c>
    </row>
    <row r="21" customFormat="false" ht="15" hidden="false" customHeight="false" outlineLevel="0" collapsed="false">
      <c r="A21" s="13" t="n">
        <v>14</v>
      </c>
      <c r="B21" s="11" t="n">
        <f aca="false">CLIMATE!B21</f>
        <v>1949</v>
      </c>
      <c r="C21" s="13" t="str">
        <f aca="false">CLIMATE!C21</f>
        <v>Spring</v>
      </c>
      <c r="D21" s="10" t="s">
        <v>79</v>
      </c>
      <c r="E21" s="10"/>
      <c r="F21" s="10" t="s">
        <v>79</v>
      </c>
      <c r="G21" s="10"/>
      <c r="H21" s="10" t="n">
        <v>0</v>
      </c>
      <c r="I21" s="11" t="n">
        <f aca="false">ENGINE!$BO21</f>
        <v>166.299230386261</v>
      </c>
      <c r="J21" s="11" t="n">
        <f aca="false">ENGINE!$BK21</f>
        <v>28</v>
      </c>
      <c r="K21" s="12" t="n">
        <f aca="false">ENGINE!$AY21</f>
        <v>95.0146</v>
      </c>
      <c r="L21" s="12" t="n">
        <f aca="false">ENGINE!$BG21</f>
        <v>97.6649232</v>
      </c>
      <c r="M21" s="12" t="n">
        <f aca="false">ENGINE!$BH21</f>
        <v>104.344724515864</v>
      </c>
      <c r="N21" s="12" t="n">
        <f aca="false">ENGINE!$BI21</f>
        <v>84.2713142268729</v>
      </c>
      <c r="O21" s="13" t="str">
        <f aca="false">INDEX(REGIONS!$B$7:$B$14,MATCH(MIN(ENGINE!$AY21:$BF21),ENGINE!$AY21:$BF21,0))</f>
        <v>Horn of Africa</v>
      </c>
      <c r="P21" s="12" t="n">
        <f aca="false">MIN(ENGINE!$AY21:$BF21)</f>
        <v>92.4148</v>
      </c>
      <c r="Q21" s="11" t="n">
        <f aca="false">ENGINE!$BQ21</f>
        <v>1.29406066234472</v>
      </c>
      <c r="R21" s="13" t="str">
        <f aca="false">INDEX(ASSUMPTIONS!$B$28:$B$34,MATCH(ENGINE!$BQ21,ASSUMPTIONS!$A$28:$A$34,1))</f>
        <v>Nothing. No one is looking.</v>
      </c>
      <c r="S21" s="13" t="str">
        <f aca="false">IF(ENGINE!$BQ21&gt;=200,"EXPOSED — run over",IF(ENGINE!$BO21&lt;0,"INSOLVENT — programme suspended",IF(AND($A21&gt;8,ENGINE!$BK21&lt;=ASSUMPTIONS!$B$12+1),"Committee is asking what you are for","running")))</f>
        <v>Committee is asking what you are for</v>
      </c>
    </row>
    <row r="22" customFormat="false" ht="15" hidden="false" customHeight="false" outlineLevel="0" collapsed="false">
      <c r="A22" s="13" t="n">
        <v>15</v>
      </c>
      <c r="B22" s="11" t="n">
        <f aca="false">CLIMATE!B22</f>
        <v>1949</v>
      </c>
      <c r="C22" s="13" t="str">
        <f aca="false">CLIMATE!C22</f>
        <v>Summer</v>
      </c>
      <c r="D22" s="10" t="s">
        <v>79</v>
      </c>
      <c r="E22" s="10"/>
      <c r="F22" s="10" t="s">
        <v>79</v>
      </c>
      <c r="G22" s="10"/>
      <c r="H22" s="10" t="n">
        <v>0</v>
      </c>
      <c r="I22" s="11" t="n">
        <f aca="false">ENGINE!$BO22</f>
        <v>170.260953387488</v>
      </c>
      <c r="J22" s="11" t="n">
        <f aca="false">ENGINE!$BK22</f>
        <v>28</v>
      </c>
      <c r="K22" s="12" t="n">
        <f aca="false">ENGINE!$AY22</f>
        <v>100</v>
      </c>
      <c r="L22" s="12" t="n">
        <f aca="false">ENGINE!$BG22</f>
        <v>97.0656924</v>
      </c>
      <c r="M22" s="12" t="n">
        <f aca="false">ENGINE!$BH22</f>
        <v>105.507088247326</v>
      </c>
      <c r="N22" s="12" t="n">
        <f aca="false">ENGINE!$BI22</f>
        <v>89.6810250102271</v>
      </c>
      <c r="O22" s="13" t="str">
        <f aca="false">INDEX(REGIONS!$B$7:$B$14,MATCH(MIN(ENGINE!$AY22:$BF22),ENGINE!$AY22:$BF22,0))</f>
        <v>Southeast Asia</v>
      </c>
      <c r="P22" s="12" t="n">
        <f aca="false">MIN(ENGINE!$AY22:$BF22)</f>
        <v>92.67576</v>
      </c>
      <c r="Q22" s="11" t="n">
        <f aca="false">ENGINE!$BQ22</f>
        <v>1.24229823585093</v>
      </c>
      <c r="R22" s="13" t="str">
        <f aca="false">INDEX(ASSUMPTIONS!$B$28:$B$34,MATCH(ENGINE!$BQ22,ASSUMPTIONS!$A$28:$A$34,1))</f>
        <v>Nothing. No one is looking.</v>
      </c>
      <c r="S22" s="13" t="str">
        <f aca="false">IF(ENGINE!$BQ22&gt;=200,"EXPOSED — run over",IF(ENGINE!$BO22&lt;0,"INSOLVENT — programme suspended",IF(AND($A22&gt;8,ENGINE!$BK22&lt;=ASSUMPTIONS!$B$12+1),"Committee is asking what you are for","running")))</f>
        <v>Committee is asking what you are for</v>
      </c>
    </row>
    <row r="23" customFormat="false" ht="15" hidden="false" customHeight="false" outlineLevel="0" collapsed="false">
      <c r="A23" s="13" t="n">
        <v>16</v>
      </c>
      <c r="B23" s="11" t="n">
        <f aca="false">CLIMATE!B23</f>
        <v>1949</v>
      </c>
      <c r="C23" s="13" t="str">
        <f aca="false">CLIMATE!C23</f>
        <v>Autumn</v>
      </c>
      <c r="D23" s="10" t="s">
        <v>79</v>
      </c>
      <c r="E23" s="10"/>
      <c r="F23" s="10" t="s">
        <v>79</v>
      </c>
      <c r="G23" s="10"/>
      <c r="H23" s="10" t="n">
        <v>0</v>
      </c>
      <c r="I23" s="11" t="n">
        <f aca="false">ENGINE!$BO23</f>
        <v>176.005529922944</v>
      </c>
      <c r="J23" s="11" t="n">
        <f aca="false">ENGINE!$BK23</f>
        <v>29.580796</v>
      </c>
      <c r="K23" s="12" t="n">
        <f aca="false">ENGINE!$AY23</f>
        <v>100</v>
      </c>
      <c r="L23" s="12" t="n">
        <f aca="false">ENGINE!$BG23</f>
        <v>95.3067688</v>
      </c>
      <c r="M23" s="12" t="n">
        <f aca="false">ENGINE!$BH23</f>
        <v>109.037844465247</v>
      </c>
      <c r="N23" s="12" t="n">
        <f aca="false">ENGINE!$BI23</f>
        <v>92.6821677954596</v>
      </c>
      <c r="O23" s="13" t="str">
        <f aca="false">INDEX(REGIONS!$B$7:$B$14,MATCH(MIN(ENGINE!$AY23:$BF23),ENGINE!$AY23:$BF23,0))</f>
        <v>South Asia</v>
      </c>
      <c r="P23" s="12" t="n">
        <f aca="false">MIN(ENGINE!$AY23:$BF23)</f>
        <v>86.8204</v>
      </c>
      <c r="Q23" s="11" t="n">
        <f aca="false">ENGINE!$BQ23</f>
        <v>1.19260630641689</v>
      </c>
      <c r="R23" s="13" t="str">
        <f aca="false">INDEX(ASSUMPTIONS!$B$28:$B$34,MATCH(ENGINE!$BQ23,ASSUMPTIONS!$A$28:$A$34,1))</f>
        <v>Nothing. No one is looking.</v>
      </c>
      <c r="S23" s="13" t="str">
        <f aca="false">IF(ENGINE!$BQ23&gt;=200,"EXPOSED — run over",IF(ENGINE!$BO23&lt;0,"INSOLVENT — programme suspended",IF(AND($A23&gt;8,ENGINE!$BK23&lt;=ASSUMPTIONS!$B$12+1),"Committee is asking what you are for","running")))</f>
        <v>running</v>
      </c>
    </row>
    <row r="24" customFormat="false" ht="15" hidden="false" customHeight="false" outlineLevel="0" collapsed="false">
      <c r="A24" s="8" t="n">
        <v>17</v>
      </c>
      <c r="B24" s="9" t="n">
        <f aca="false">CLIMATE!B24</f>
        <v>1950</v>
      </c>
      <c r="C24" s="8" t="str">
        <f aca="false">CLIMATE!C24</f>
        <v>Winter</v>
      </c>
      <c r="D24" s="10" t="s">
        <v>79</v>
      </c>
      <c r="E24" s="10"/>
      <c r="F24" s="10" t="s">
        <v>79</v>
      </c>
      <c r="G24" s="10"/>
      <c r="H24" s="10" t="n">
        <v>0</v>
      </c>
      <c r="I24" s="11" t="n">
        <f aca="false">ENGINE!$BO24</f>
        <v>186.803970370392</v>
      </c>
      <c r="J24" s="11" t="n">
        <f aca="false">ENGINE!$BK24</f>
        <v>34.580623</v>
      </c>
      <c r="K24" s="12" t="n">
        <f aca="false">ENGINE!$AY24</f>
        <v>100</v>
      </c>
      <c r="L24" s="12" t="n">
        <f aca="false">ENGINE!$BG24</f>
        <v>92.7672654</v>
      </c>
      <c r="M24" s="12" t="n">
        <f aca="false">ENGINE!$BH24</f>
        <v>114.469409288705</v>
      </c>
      <c r="N24" s="12" t="n">
        <f aca="false">ENGINE!$BI24</f>
        <v>97.2989978953993</v>
      </c>
      <c r="O24" s="13" t="str">
        <f aca="false">INDEX(REGIONS!$B$7:$B$14,MATCH(MIN(ENGINE!$AY24:$BF24),ENGINE!$AY24:$BF24,0))</f>
        <v>Eastern Australia</v>
      </c>
      <c r="P24" s="12" t="n">
        <f aca="false">MIN(ENGINE!$AY24:$BF24)</f>
        <v>73.65186</v>
      </c>
      <c r="Q24" s="11" t="n">
        <f aca="false">ENGINE!$BQ24</f>
        <v>1.14490205416022</v>
      </c>
      <c r="R24" s="13" t="str">
        <f aca="false">INDEX(ASSUMPTIONS!$B$28:$B$34,MATCH(ENGINE!$BQ24,ASSUMPTIONS!$A$28:$A$34,1))</f>
        <v>Nothing. No one is looking.</v>
      </c>
      <c r="S24" s="13" t="str">
        <f aca="false">IF(ENGINE!$BQ24&gt;=200,"EXPOSED — run over",IF(ENGINE!$BO24&lt;0,"INSOLVENT — programme suspended",IF(AND($A24&gt;8,ENGINE!$BK24&lt;=ASSUMPTIONS!$B$12+1),"Committee is asking what you are for","running")))</f>
        <v>running</v>
      </c>
    </row>
    <row r="25" customFormat="false" ht="15" hidden="false" customHeight="false" outlineLevel="0" collapsed="false">
      <c r="A25" s="13" t="n">
        <v>18</v>
      </c>
      <c r="B25" s="11" t="n">
        <f aca="false">CLIMATE!B25</f>
        <v>1950</v>
      </c>
      <c r="C25" s="13" t="str">
        <f aca="false">CLIMATE!C25</f>
        <v>Spring</v>
      </c>
      <c r="D25" s="10" t="s">
        <v>79</v>
      </c>
      <c r="E25" s="10"/>
      <c r="F25" s="10" t="s">
        <v>79</v>
      </c>
      <c r="G25" s="10"/>
      <c r="H25" s="10" t="n">
        <v>0</v>
      </c>
      <c r="I25" s="11" t="n">
        <f aca="false">ENGINE!$BO25</f>
        <v>198.431966733464</v>
      </c>
      <c r="J25" s="11" t="n">
        <f aca="false">ENGINE!$BK25</f>
        <v>35.669452</v>
      </c>
      <c r="K25" s="12" t="n">
        <f aca="false">ENGINE!$AY25</f>
        <v>100</v>
      </c>
      <c r="L25" s="12" t="n">
        <f aca="false">ENGINE!$BG25</f>
        <v>93.4378122</v>
      </c>
      <c r="M25" s="12" t="n">
        <f aca="false">ENGINE!$BH25</f>
        <v>112.994995716394</v>
      </c>
      <c r="N25" s="12" t="n">
        <f aca="false">ENGINE!$BI25</f>
        <v>96.0457463589346</v>
      </c>
      <c r="O25" s="13" t="str">
        <f aca="false">INDEX(REGIONS!$B$7:$B$14,MATCH(MIN(ENGINE!$AY25:$BF25),ENGINE!$AY25:$BF25,0))</f>
        <v>Eastern Australia</v>
      </c>
      <c r="P25" s="12" t="n">
        <f aca="false">MIN(ENGINE!$AY25:$BF25)</f>
        <v>63.70374</v>
      </c>
      <c r="Q25" s="11" t="n">
        <f aca="false">ENGINE!$BQ25</f>
        <v>1.09910597199381</v>
      </c>
      <c r="R25" s="13" t="str">
        <f aca="false">INDEX(ASSUMPTIONS!$B$28:$B$34,MATCH(ENGINE!$BQ25,ASSUMPTIONS!$A$28:$A$34,1))</f>
        <v>Nothing. No one is looking.</v>
      </c>
      <c r="S25" s="13" t="str">
        <f aca="false">IF(ENGINE!$BQ25&gt;=200,"EXPOSED — run over",IF(ENGINE!$BO25&lt;0,"INSOLVENT — programme suspended",IF(AND($A25&gt;8,ENGINE!$BK25&lt;=ASSUMPTIONS!$B$12+1),"Committee is asking what you are for","running")))</f>
        <v>running</v>
      </c>
    </row>
    <row r="26" customFormat="false" ht="15" hidden="false" customHeight="false" outlineLevel="0" collapsed="false">
      <c r="A26" s="13" t="n">
        <v>19</v>
      </c>
      <c r="B26" s="11" t="n">
        <f aca="false">CLIMATE!B26</f>
        <v>1950</v>
      </c>
      <c r="C26" s="13" t="str">
        <f aca="false">CLIMATE!C26</f>
        <v>Summer</v>
      </c>
      <c r="D26" s="10" t="s">
        <v>79</v>
      </c>
      <c r="E26" s="10"/>
      <c r="F26" s="10" t="s">
        <v>79</v>
      </c>
      <c r="G26" s="10"/>
      <c r="H26" s="10" t="n">
        <v>0</v>
      </c>
      <c r="I26" s="11" t="n">
        <f aca="false">ENGINE!$BO26</f>
        <v>203.957061750668</v>
      </c>
      <c r="J26" s="11" t="n">
        <f aca="false">ENGINE!$BK26</f>
        <v>29.605324</v>
      </c>
      <c r="K26" s="12" t="n">
        <f aca="false">ENGINE!$AY26</f>
        <v>100</v>
      </c>
      <c r="L26" s="12" t="n">
        <f aca="false">ENGINE!$BG26</f>
        <v>96.4765486</v>
      </c>
      <c r="M26" s="12" t="n">
        <f aca="false">ENGINE!$BH26</f>
        <v>106.669641345141</v>
      </c>
      <c r="N26" s="12" t="n">
        <f aca="false">ENGINE!$BI26</f>
        <v>90.6691951433695</v>
      </c>
      <c r="O26" s="13" t="str">
        <f aca="false">INDEX(REGIONS!$B$7:$B$14,MATCH(MIN(ENGINE!$AY26:$BF26),ENGINE!$AY26:$BF26,0))</f>
        <v>Eastern Australia</v>
      </c>
      <c r="P26" s="12" t="n">
        <f aca="false">MIN(ENGINE!$AY26:$BF26)</f>
        <v>77.86698</v>
      </c>
      <c r="Q26" s="11" t="n">
        <f aca="false">ENGINE!$BQ26</f>
        <v>1.05514173311405</v>
      </c>
      <c r="R26" s="13" t="str">
        <f aca="false">INDEX(ASSUMPTIONS!$B$28:$B$34,MATCH(ENGINE!$BQ26,ASSUMPTIONS!$A$28:$A$34,1))</f>
        <v>Nothing. No one is looking.</v>
      </c>
      <c r="S26" s="13" t="str">
        <f aca="false">IF(ENGINE!$BQ26&gt;=200,"EXPOSED — run over",IF(ENGINE!$BO26&lt;0,"INSOLVENT — programme suspended",IF(AND($A26&gt;8,ENGINE!$BK26&lt;=ASSUMPTIONS!$B$12+1),"Committee is asking what you are for","running")))</f>
        <v>running</v>
      </c>
    </row>
    <row r="27" customFormat="false" ht="15" hidden="false" customHeight="false" outlineLevel="0" collapsed="false">
      <c r="A27" s="13" t="n">
        <v>20</v>
      </c>
      <c r="B27" s="11" t="n">
        <f aca="false">CLIMATE!B27</f>
        <v>1950</v>
      </c>
      <c r="C27" s="13" t="str">
        <f aca="false">CLIMATE!C27</f>
        <v>Autumn</v>
      </c>
      <c r="D27" s="10" t="s">
        <v>79</v>
      </c>
      <c r="E27" s="10"/>
      <c r="F27" s="10" t="s">
        <v>79</v>
      </c>
      <c r="G27" s="10"/>
      <c r="H27" s="10" t="n">
        <v>0</v>
      </c>
      <c r="I27" s="11" t="n">
        <f aca="false">ENGINE!$BO27</f>
        <v>207.698324104083</v>
      </c>
      <c r="J27" s="11" t="n">
        <f aca="false">ENGINE!$BK27</f>
        <v>28</v>
      </c>
      <c r="K27" s="12" t="n">
        <f aca="false">ENGINE!$AY27</f>
        <v>100</v>
      </c>
      <c r="L27" s="12" t="n">
        <f aca="false">ENGINE!$BG27</f>
        <v>98.188302</v>
      </c>
      <c r="M27" s="12" t="n">
        <f aca="false">ENGINE!$BH27</f>
        <v>103.345709347208</v>
      </c>
      <c r="N27" s="12" t="n">
        <f aca="false">ENGINE!$BI27</f>
        <v>87.8438529451272</v>
      </c>
      <c r="O27" s="13" t="str">
        <f aca="false">INDEX(REGIONS!$B$7:$B$14,MATCH(MIN(ENGINE!$AY27:$BF27),ENGINE!$AY27:$BF27,0))</f>
        <v>Sahel</v>
      </c>
      <c r="P27" s="12" t="n">
        <f aca="false">MIN(ENGINE!$AY27:$BF27)</f>
        <v>89.2396</v>
      </c>
      <c r="Q27" s="11" t="n">
        <f aca="false">ENGINE!$BQ27</f>
        <v>1.01293606378949</v>
      </c>
      <c r="R27" s="13" t="str">
        <f aca="false">INDEX(ASSUMPTIONS!$B$28:$B$34,MATCH(ENGINE!$BQ27,ASSUMPTIONS!$A$28:$A$34,1))</f>
        <v>Nothing. No one is looking.</v>
      </c>
      <c r="S27" s="13" t="str">
        <f aca="false">IF(ENGINE!$BQ27&gt;=200,"EXPOSED — run over",IF(ENGINE!$BO27&lt;0,"INSOLVENT — programme suspended",IF(AND($A27&gt;8,ENGINE!$BK27&lt;=ASSUMPTIONS!$B$12+1),"Committee is asking what you are for","running")))</f>
        <v>Committee is asking what you are for</v>
      </c>
    </row>
    <row r="28" customFormat="false" ht="15" hidden="false" customHeight="false" outlineLevel="0" collapsed="false">
      <c r="A28" s="8" t="n">
        <v>21</v>
      </c>
      <c r="B28" s="9" t="n">
        <f aca="false">CLIMATE!B28</f>
        <v>1951</v>
      </c>
      <c r="C28" s="8" t="str">
        <f aca="false">CLIMATE!C28</f>
        <v>Winter</v>
      </c>
      <c r="D28" s="10" t="s">
        <v>79</v>
      </c>
      <c r="E28" s="10"/>
      <c r="F28" s="10" t="s">
        <v>79</v>
      </c>
      <c r="G28" s="10"/>
      <c r="H28" s="10" t="n">
        <v>0</v>
      </c>
      <c r="I28" s="11" t="n">
        <f aca="false">ENGINE!$BO28</f>
        <v>211.781795413509</v>
      </c>
      <c r="J28" s="11" t="n">
        <f aca="false">ENGINE!$BK28</f>
        <v>28.492156</v>
      </c>
      <c r="K28" s="12" t="n">
        <f aca="false">ENGINE!$AY28</f>
        <v>99.8768</v>
      </c>
      <c r="L28" s="12" t="n">
        <f aca="false">ENGINE!$BG28</f>
        <v>98.645892</v>
      </c>
      <c r="M28" s="12" t="n">
        <f aca="false">ENGINE!$BH28</f>
        <v>102.484406960217</v>
      </c>
      <c r="N28" s="12" t="n">
        <f aca="false">ENGINE!$BI28</f>
        <v>87.004424245216</v>
      </c>
      <c r="O28" s="13" t="str">
        <f aca="false">INDEX(REGIONS!$B$7:$B$14,MATCH(MIN(ENGINE!$AY28:$BF28),ENGINE!$AY28:$BF28,0))</f>
        <v>Horn of Africa</v>
      </c>
      <c r="P28" s="12" t="n">
        <f aca="false">MIN(ENGINE!$AY28:$BF28)</f>
        <v>81.27024</v>
      </c>
      <c r="Q28" s="11" t="n">
        <f aca="false">ENGINE!$BQ28</f>
        <v>0.972418621237913</v>
      </c>
      <c r="R28" s="13" t="str">
        <f aca="false">INDEX(ASSUMPTIONS!$B$28:$B$34,MATCH(ENGINE!$BQ28,ASSUMPTIONS!$A$28:$A$34,1))</f>
        <v>Nothing. No one is looking.</v>
      </c>
      <c r="S28" s="13" t="str">
        <f aca="false">IF(ENGINE!$BQ28&gt;=200,"EXPOSED — run over",IF(ENGINE!$BO28&lt;0,"INSOLVENT — programme suspended",IF(AND($A28&gt;8,ENGINE!$BK28&lt;=ASSUMPTIONS!$B$12+1),"Committee is asking what you are for","running")))</f>
        <v>Committee is asking what you are for</v>
      </c>
    </row>
    <row r="29" customFormat="false" ht="15" hidden="false" customHeight="false" outlineLevel="0" collapsed="false">
      <c r="A29" s="13" t="n">
        <v>22</v>
      </c>
      <c r="B29" s="11" t="n">
        <f aca="false">CLIMATE!B29</f>
        <v>1951</v>
      </c>
      <c r="C29" s="13" t="str">
        <f aca="false">CLIMATE!C29</f>
        <v>Spring</v>
      </c>
      <c r="D29" s="10" t="s">
        <v>79</v>
      </c>
      <c r="E29" s="10"/>
      <c r="F29" s="10" t="s">
        <v>79</v>
      </c>
      <c r="G29" s="10"/>
      <c r="H29" s="10" t="n">
        <v>0</v>
      </c>
      <c r="I29" s="11" t="n">
        <f aca="false">ENGINE!$BO29</f>
        <v>215.974054853914</v>
      </c>
      <c r="J29" s="11" t="n">
        <f aca="false">ENGINE!$BK29</f>
        <v>28.192024</v>
      </c>
      <c r="K29" s="12" t="n">
        <f aca="false">ENGINE!$AY29</f>
        <v>100</v>
      </c>
      <c r="L29" s="12" t="n">
        <f aca="false">ENGINE!$BG29</f>
        <v>96.7776928</v>
      </c>
      <c r="M29" s="12" t="n">
        <f aca="false">ENGINE!$BH29</f>
        <v>106.072920003969</v>
      </c>
      <c r="N29" s="12" t="n">
        <f aca="false">ENGINE!$BI29</f>
        <v>90.1619820033735</v>
      </c>
      <c r="O29" s="13" t="str">
        <f aca="false">INDEX(REGIONS!$B$7:$B$14,MATCH(MIN(ENGINE!$AY29:$BF29),ENGINE!$AY29:$BF29,0))</f>
        <v>Sahel</v>
      </c>
      <c r="P29" s="12" t="n">
        <f aca="false">MIN(ENGINE!$AY29:$BF29)</f>
        <v>85.39604</v>
      </c>
      <c r="Q29" s="11" t="n">
        <f aca="false">ENGINE!$BQ29</f>
        <v>0.933521876388396</v>
      </c>
      <c r="R29" s="13" t="str">
        <f aca="false">INDEX(ASSUMPTIONS!$B$28:$B$34,MATCH(ENGINE!$BQ29,ASSUMPTIONS!$A$28:$A$34,1))</f>
        <v>Nothing. No one is looking.</v>
      </c>
      <c r="S29" s="13" t="str">
        <f aca="false">IF(ENGINE!$BQ29&gt;=200,"EXPOSED — run over",IF(ENGINE!$BO29&lt;0,"INSOLVENT — programme suspended",IF(AND($A29&gt;8,ENGINE!$BK29&lt;=ASSUMPTIONS!$B$12+1),"Committee is asking what you are for","running")))</f>
        <v>Committee is asking what you are for</v>
      </c>
    </row>
    <row r="30" customFormat="false" ht="15" hidden="false" customHeight="false" outlineLevel="0" collapsed="false">
      <c r="A30" s="13" t="n">
        <v>23</v>
      </c>
      <c r="B30" s="11" t="n">
        <f aca="false">CLIMATE!B30</f>
        <v>1951</v>
      </c>
      <c r="C30" s="13" t="str">
        <f aca="false">CLIMATE!C30</f>
        <v>Summer</v>
      </c>
      <c r="D30" s="10" t="s">
        <v>79</v>
      </c>
      <c r="E30" s="10"/>
      <c r="F30" s="10" t="s">
        <v>79</v>
      </c>
      <c r="G30" s="10"/>
      <c r="H30" s="10" t="n">
        <v>0</v>
      </c>
      <c r="I30" s="11" t="n">
        <f aca="false">ENGINE!$BO30</f>
        <v>219.763649574514</v>
      </c>
      <c r="J30" s="11" t="n">
        <f aca="false">ENGINE!$BK30</f>
        <v>28.0063</v>
      </c>
      <c r="K30" s="12" t="n">
        <f aca="false">ENGINE!$AY30</f>
        <v>100</v>
      </c>
      <c r="L30" s="12" t="n">
        <f aca="false">ENGINE!$BG30</f>
        <v>97.9682248</v>
      </c>
      <c r="M30" s="12" t="n">
        <f aca="false">ENGINE!$BH30</f>
        <v>103.763967849015</v>
      </c>
      <c r="N30" s="12" t="n">
        <f aca="false">ENGINE!$BI30</f>
        <v>88.199372671663</v>
      </c>
      <c r="O30" s="13" t="str">
        <f aca="false">INDEX(REGIONS!$B$7:$B$14,MATCH(MIN(ENGINE!$AY30:$BF30),ENGINE!$AY30:$BF30,0))</f>
        <v>Horn of Africa</v>
      </c>
      <c r="P30" s="12" t="n">
        <f aca="false">MIN(ENGINE!$AY30:$BF30)</f>
        <v>87.06792</v>
      </c>
      <c r="Q30" s="11" t="n">
        <f aca="false">ENGINE!$BQ30</f>
        <v>0.89618100133286</v>
      </c>
      <c r="R30" s="13" t="str">
        <f aca="false">INDEX(ASSUMPTIONS!$B$28:$B$34,MATCH(ENGINE!$BQ30,ASSUMPTIONS!$A$28:$A$34,1))</f>
        <v>Nothing. No one is looking.</v>
      </c>
      <c r="S30" s="13" t="str">
        <f aca="false">IF(ENGINE!$BQ30&gt;=200,"EXPOSED — run over",IF(ENGINE!$BO30&lt;0,"INSOLVENT — programme suspended",IF(AND($A30&gt;8,ENGINE!$BK30&lt;=ASSUMPTIONS!$B$12+1),"Committee is asking what you are for","running")))</f>
        <v>Committee is asking what you are for</v>
      </c>
    </row>
    <row r="31" customFormat="false" ht="15" hidden="false" customHeight="false" outlineLevel="0" collapsed="false">
      <c r="A31" s="13" t="n">
        <v>24</v>
      </c>
      <c r="B31" s="11" t="n">
        <f aca="false">CLIMATE!B31</f>
        <v>1951</v>
      </c>
      <c r="C31" s="13" t="str">
        <f aca="false">CLIMATE!C31</f>
        <v>Autumn</v>
      </c>
      <c r="D31" s="10" t="s">
        <v>79</v>
      </c>
      <c r="E31" s="10"/>
      <c r="F31" s="10" t="s">
        <v>79</v>
      </c>
      <c r="G31" s="10"/>
      <c r="H31" s="10" t="n">
        <v>0</v>
      </c>
      <c r="I31" s="11" t="n">
        <f aca="false">ENGINE!$BO31</f>
        <v>229.015935596</v>
      </c>
      <c r="J31" s="11" t="n">
        <f aca="false">ENGINE!$BK31</f>
        <v>33.899614</v>
      </c>
      <c r="K31" s="12" t="n">
        <f aca="false">ENGINE!$AY31</f>
        <v>100</v>
      </c>
      <c r="L31" s="12" t="n">
        <f aca="false">ENGINE!$BG31</f>
        <v>97.1614796</v>
      </c>
      <c r="M31" s="12" t="n">
        <f aca="false">ENGINE!$BH31</f>
        <v>105.319935504764</v>
      </c>
      <c r="N31" s="12" t="n">
        <f aca="false">ENGINE!$BI31</f>
        <v>89.5219451790491</v>
      </c>
      <c r="O31" s="13" t="str">
        <f aca="false">INDEX(REGIONS!$B$7:$B$14,MATCH(MIN(ENGINE!$AY31:$BF31),ENGINE!$AY31:$BF31,0))</f>
        <v>Horn of Africa</v>
      </c>
      <c r="P31" s="12" t="n">
        <f aca="false">MIN(ENGINE!$AY31:$BF31)</f>
        <v>83.86528</v>
      </c>
      <c r="Q31" s="11" t="n">
        <f aca="false">ENGINE!$BQ31</f>
        <v>0.860333761279546</v>
      </c>
      <c r="R31" s="13" t="str">
        <f aca="false">INDEX(ASSUMPTIONS!$B$28:$B$34,MATCH(ENGINE!$BQ31,ASSUMPTIONS!$A$28:$A$34,1))</f>
        <v>Nothing. No one is looking.</v>
      </c>
      <c r="S31" s="13" t="str">
        <f aca="false">IF(ENGINE!$BQ31&gt;=200,"EXPOSED — run over",IF(ENGINE!$BO31&lt;0,"INSOLVENT — programme suspended",IF(AND($A31&gt;8,ENGINE!$BK31&lt;=ASSUMPTIONS!$B$12+1),"Committee is asking what you are for","running")))</f>
        <v>running</v>
      </c>
    </row>
    <row r="32" customFormat="false" ht="15" hidden="false" customHeight="false" outlineLevel="0" collapsed="false">
      <c r="A32" s="8" t="n">
        <v>25</v>
      </c>
      <c r="B32" s="9" t="n">
        <f aca="false">CLIMATE!B32</f>
        <v>1952</v>
      </c>
      <c r="C32" s="8" t="str">
        <f aca="false">CLIMATE!C32</f>
        <v>Winter</v>
      </c>
      <c r="D32" s="10" t="s">
        <v>79</v>
      </c>
      <c r="E32" s="10"/>
      <c r="F32" s="10" t="s">
        <v>79</v>
      </c>
      <c r="G32" s="10"/>
      <c r="H32" s="10" t="n">
        <v>0</v>
      </c>
      <c r="I32" s="11" t="n">
        <f aca="false">ENGINE!$BO32</f>
        <v>234.860580096449</v>
      </c>
      <c r="J32" s="11" t="n">
        <f aca="false">ENGINE!$BK32</f>
        <v>30.347548</v>
      </c>
      <c r="K32" s="12" t="n">
        <f aca="false">ENGINE!$AY32</f>
        <v>95.9834</v>
      </c>
      <c r="L32" s="12" t="n">
        <f aca="false">ENGINE!$BG32</f>
        <v>96.0249772</v>
      </c>
      <c r="M32" s="12" t="n">
        <f aca="false">ENGINE!$BH32</f>
        <v>107.574272345066</v>
      </c>
      <c r="N32" s="12" t="n">
        <f aca="false">ENGINE!$BI32</f>
        <v>87.765427503746</v>
      </c>
      <c r="O32" s="13" t="str">
        <f aca="false">INDEX(REGIONS!$B$7:$B$14,MATCH(MIN(ENGINE!$AY32:$BF32),ENGINE!$AY32:$BF32,0))</f>
        <v>Horn of Africa</v>
      </c>
      <c r="P32" s="12" t="n">
        <f aca="false">MIN(ENGINE!$AY32:$BF32)</f>
        <v>79.27496</v>
      </c>
      <c r="Q32" s="11" t="n">
        <f aca="false">ENGINE!$BQ32</f>
        <v>0.825920410828364</v>
      </c>
      <c r="R32" s="13" t="str">
        <f aca="false">INDEX(ASSUMPTIONS!$B$28:$B$34,MATCH(ENGINE!$BQ32,ASSUMPTIONS!$A$28:$A$34,1))</f>
        <v>Nothing. No one is looking.</v>
      </c>
      <c r="S32" s="13" t="str">
        <f aca="false">IF(ENGINE!$BQ32&gt;=200,"EXPOSED — run over",IF(ENGINE!$BO32&lt;0,"INSOLVENT — programme suspended",IF(AND($A32&gt;8,ENGINE!$BK32&lt;=ASSUMPTIONS!$B$12+1),"Committee is asking what you are for","running")))</f>
        <v>running</v>
      </c>
    </row>
    <row r="33" customFormat="false" ht="15" hidden="false" customHeight="false" outlineLevel="0" collapsed="false">
      <c r="A33" s="13" t="n">
        <v>26</v>
      </c>
      <c r="B33" s="11" t="n">
        <f aca="false">CLIMATE!B33</f>
        <v>1952</v>
      </c>
      <c r="C33" s="13" t="str">
        <f aca="false">CLIMATE!C33</f>
        <v>Spring</v>
      </c>
      <c r="D33" s="10" t="s">
        <v>79</v>
      </c>
      <c r="E33" s="10"/>
      <c r="F33" s="10" t="s">
        <v>79</v>
      </c>
      <c r="G33" s="10"/>
      <c r="H33" s="10" t="n">
        <v>0</v>
      </c>
      <c r="I33" s="11" t="n">
        <f aca="false">ENGINE!$BO33</f>
        <v>238.33001857301</v>
      </c>
      <c r="J33" s="11" t="n">
        <f aca="false">ENGINE!$BK33</f>
        <v>28</v>
      </c>
      <c r="K33" s="12" t="n">
        <f aca="false">ENGINE!$AY33</f>
        <v>98.0624</v>
      </c>
      <c r="L33" s="12" t="n">
        <f aca="false">ENGINE!$BG33</f>
        <v>98.54673</v>
      </c>
      <c r="M33" s="12" t="n">
        <f aca="false">ENGINE!$BH33</f>
        <v>102.670105339102</v>
      </c>
      <c r="N33" s="12" t="n">
        <f aca="false">ENGINE!$BI33</f>
        <v>85.5786539713439</v>
      </c>
      <c r="O33" s="13" t="str">
        <f aca="false">INDEX(REGIONS!$B$7:$B$14,MATCH(MIN(ENGINE!$AY33:$BF33),ENGINE!$AY33:$BF33,0))</f>
        <v>La Plata Basin</v>
      </c>
      <c r="P33" s="12" t="n">
        <f aca="false">MIN(ENGINE!$AY33:$BF33)</f>
        <v>92.895</v>
      </c>
      <c r="Q33" s="11" t="n">
        <f aca="false">ENGINE!$BQ33</f>
        <v>0.792883594395229</v>
      </c>
      <c r="R33" s="13" t="str">
        <f aca="false">INDEX(ASSUMPTIONS!$B$28:$B$34,MATCH(ENGINE!$BQ33,ASSUMPTIONS!$A$28:$A$34,1))</f>
        <v>Nothing. No one is looking.</v>
      </c>
      <c r="S33" s="13" t="str">
        <f aca="false">IF(ENGINE!$BQ33&gt;=200,"EXPOSED — run over",IF(ENGINE!$BO33&lt;0,"INSOLVENT — programme suspended",IF(AND($A33&gt;8,ENGINE!$BK33&lt;=ASSUMPTIONS!$B$12+1),"Committee is asking what you are for","running")))</f>
        <v>Committee is asking what you are for</v>
      </c>
    </row>
    <row r="34" customFormat="false" ht="15" hidden="false" customHeight="false" outlineLevel="0" collapsed="false">
      <c r="A34" s="13" t="n">
        <v>27</v>
      </c>
      <c r="B34" s="11" t="n">
        <f aca="false">CLIMATE!B34</f>
        <v>1952</v>
      </c>
      <c r="C34" s="13" t="str">
        <f aca="false">CLIMATE!C34</f>
        <v>Summer</v>
      </c>
      <c r="D34" s="10" t="s">
        <v>79</v>
      </c>
      <c r="E34" s="10"/>
      <c r="F34" s="10" t="s">
        <v>79</v>
      </c>
      <c r="G34" s="10"/>
      <c r="H34" s="10" t="n">
        <v>0</v>
      </c>
      <c r="I34" s="11" t="n">
        <f aca="false">ENGINE!$BO34</f>
        <v>242.279086187068</v>
      </c>
      <c r="J34" s="11" t="n">
        <f aca="false">ENGINE!$BK34</f>
        <v>28.083412</v>
      </c>
      <c r="K34" s="12" t="n">
        <f aca="false">ENGINE!$AY34</f>
        <v>99.377</v>
      </c>
      <c r="L34" s="12" t="n">
        <f aca="false">ENGINE!$BG34</f>
        <v>97.1701268</v>
      </c>
      <c r="M34" s="12" t="n">
        <f aca="false">ENGINE!$BH34</f>
        <v>105.303065688039</v>
      </c>
      <c r="N34" s="12" t="n">
        <f aca="false">ENGINE!$BI34</f>
        <v>88.9499734504821</v>
      </c>
      <c r="O34" s="13" t="str">
        <f aca="false">INDEX(REGIONS!$B$7:$B$14,MATCH(MIN(ENGINE!$AY34:$BF34),ENGINE!$AY34:$BF34,0))</f>
        <v>Eastern Australia</v>
      </c>
      <c r="P34" s="12" t="n">
        <f aca="false">MIN(ENGINE!$AY34:$BF34)</f>
        <v>85.92048</v>
      </c>
      <c r="Q34" s="11" t="n">
        <f aca="false">ENGINE!$BQ34</f>
        <v>0.76116825061942</v>
      </c>
      <c r="R34" s="13" t="str">
        <f aca="false">INDEX(ASSUMPTIONS!$B$28:$B$34,MATCH(ENGINE!$BQ34,ASSUMPTIONS!$A$28:$A$34,1))</f>
        <v>Nothing. No one is looking.</v>
      </c>
      <c r="S34" s="13" t="str">
        <f aca="false">IF(ENGINE!$BQ34&gt;=200,"EXPOSED — run over",IF(ENGINE!$BO34&lt;0,"INSOLVENT — programme suspended",IF(AND($A34&gt;8,ENGINE!$BK34&lt;=ASSUMPTIONS!$B$12+1),"Committee is asking what you are for","running")))</f>
        <v>Committee is asking what you are for</v>
      </c>
    </row>
    <row r="35" customFormat="false" ht="15" hidden="false" customHeight="false" outlineLevel="0" collapsed="false">
      <c r="A35" s="13" t="n">
        <v>28</v>
      </c>
      <c r="B35" s="11" t="n">
        <f aca="false">CLIMATE!B35</f>
        <v>1952</v>
      </c>
      <c r="C35" s="13" t="str">
        <f aca="false">CLIMATE!C35</f>
        <v>Autumn</v>
      </c>
      <c r="D35" s="10" t="s">
        <v>79</v>
      </c>
      <c r="E35" s="10"/>
      <c r="F35" s="10" t="s">
        <v>79</v>
      </c>
      <c r="G35" s="10"/>
      <c r="H35" s="10" t="n">
        <v>0</v>
      </c>
      <c r="I35" s="11" t="n">
        <f aca="false">ENGINE!$BO35</f>
        <v>246.697168179712</v>
      </c>
      <c r="J35" s="11" t="n">
        <f aca="false">ENGINE!$BK35</f>
        <v>28.337218</v>
      </c>
      <c r="K35" s="12" t="n">
        <f aca="false">ENGINE!$AY35</f>
        <v>100</v>
      </c>
      <c r="L35" s="12" t="n">
        <f aca="false">ENGINE!$BG35</f>
        <v>96.308081</v>
      </c>
      <c r="M35" s="12" t="n">
        <f aca="false">ENGINE!$BH35</f>
        <v>107.00574306514</v>
      </c>
      <c r="N35" s="12" t="n">
        <f aca="false">ENGINE!$BI35</f>
        <v>90.9548816053691</v>
      </c>
      <c r="O35" s="13" t="str">
        <f aca="false">INDEX(REGIONS!$B$7:$B$14,MATCH(MIN(ENGINE!$AY35:$BF35),ENGINE!$AY35:$BF35,0))</f>
        <v>Eastern Australia</v>
      </c>
      <c r="P35" s="12" t="n">
        <f aca="false">MIN(ENGINE!$AY35:$BF35)</f>
        <v>80.37494</v>
      </c>
      <c r="Q35" s="11" t="n">
        <f aca="false">ENGINE!$BQ35</f>
        <v>0.730721520594643</v>
      </c>
      <c r="R35" s="13" t="str">
        <f aca="false">INDEX(ASSUMPTIONS!$B$28:$B$34,MATCH(ENGINE!$BQ35,ASSUMPTIONS!$A$28:$A$34,1))</f>
        <v>Nothing. No one is looking.</v>
      </c>
      <c r="S35" s="13" t="str">
        <f aca="false">IF(ENGINE!$BQ35&gt;=200,"EXPOSED — run over",IF(ENGINE!$BO35&lt;0,"INSOLVENT — programme suspended",IF(AND($A35&gt;8,ENGINE!$BK35&lt;=ASSUMPTIONS!$B$12+1),"Committee is asking what you are for","running")))</f>
        <v>Committee is asking what you are for</v>
      </c>
    </row>
    <row r="36" customFormat="false" ht="15" hidden="false" customHeight="false" outlineLevel="0" collapsed="false">
      <c r="A36" s="8" t="n">
        <v>29</v>
      </c>
      <c r="B36" s="9" t="n">
        <f aca="false">CLIMATE!B36</f>
        <v>1953</v>
      </c>
      <c r="C36" s="8" t="str">
        <f aca="false">CLIMATE!C36</f>
        <v>Winter</v>
      </c>
      <c r="D36" s="10" t="s">
        <v>79</v>
      </c>
      <c r="E36" s="10"/>
      <c r="F36" s="10" t="s">
        <v>79</v>
      </c>
      <c r="G36" s="10"/>
      <c r="H36" s="10" t="n">
        <v>0</v>
      </c>
      <c r="I36" s="11" t="n">
        <f aca="false">ENGINE!$BO36</f>
        <v>250.496014730233</v>
      </c>
      <c r="J36" s="11" t="n">
        <f aca="false">ENGINE!$BK36</f>
        <v>28</v>
      </c>
      <c r="K36" s="12" t="n">
        <f aca="false">ENGINE!$AY36</f>
        <v>100</v>
      </c>
      <c r="L36" s="12" t="n">
        <f aca="false">ENGINE!$BG36</f>
        <v>97.8915748</v>
      </c>
      <c r="M36" s="12" t="n">
        <f aca="false">ENGINE!$BH36</f>
        <v>103.910260299225</v>
      </c>
      <c r="N36" s="12" t="n">
        <f aca="false">ENGINE!$BI36</f>
        <v>88.3237212543408</v>
      </c>
      <c r="O36" s="13" t="str">
        <f aca="false">INDEX(REGIONS!$B$7:$B$14,MATCH(MIN(ENGINE!$AY36:$BF36),ENGINE!$AY36:$BF36,0))</f>
        <v>Southeast Asia</v>
      </c>
      <c r="P36" s="12" t="n">
        <f aca="false">MIN(ENGINE!$AY36:$BF36)</f>
        <v>93.4088</v>
      </c>
      <c r="Q36" s="11" t="n">
        <f aca="false">ENGINE!$BQ36</f>
        <v>0.701492659770858</v>
      </c>
      <c r="R36" s="13" t="str">
        <f aca="false">INDEX(ASSUMPTIONS!$B$28:$B$34,MATCH(ENGINE!$BQ36,ASSUMPTIONS!$A$28:$A$34,1))</f>
        <v>Nothing. No one is looking.</v>
      </c>
      <c r="S36" s="13" t="str">
        <f aca="false">IF(ENGINE!$BQ36&gt;=200,"EXPOSED — run over",IF(ENGINE!$BO36&lt;0,"INSOLVENT — programme suspended",IF(AND($A36&gt;8,ENGINE!$BK36&lt;=ASSUMPTIONS!$B$12+1),"Committee is asking what you are for","running")))</f>
        <v>Committee is asking what you are for</v>
      </c>
    </row>
    <row r="37" customFormat="false" ht="15" hidden="false" customHeight="false" outlineLevel="0" collapsed="false">
      <c r="A37" s="13" t="n">
        <v>30</v>
      </c>
      <c r="B37" s="11" t="n">
        <f aca="false">CLIMATE!B37</f>
        <v>1953</v>
      </c>
      <c r="C37" s="13" t="str">
        <f aca="false">CLIMATE!C37</f>
        <v>Spring</v>
      </c>
      <c r="D37" s="10" t="s">
        <v>79</v>
      </c>
      <c r="E37" s="10"/>
      <c r="F37" s="10" t="s">
        <v>79</v>
      </c>
      <c r="G37" s="10"/>
      <c r="H37" s="10" t="n">
        <v>0</v>
      </c>
      <c r="I37" s="11" t="n">
        <f aca="false">ENGINE!$BO37</f>
        <v>254.485107738658</v>
      </c>
      <c r="J37" s="11" t="n">
        <f aca="false">ENGINE!$BK37</f>
        <v>28</v>
      </c>
      <c r="K37" s="12" t="n">
        <f aca="false">ENGINE!$AY37</f>
        <v>99.923</v>
      </c>
      <c r="L37" s="12" t="n">
        <f aca="false">ENGINE!$BG37</f>
        <v>96.887345</v>
      </c>
      <c r="M37" s="12" t="n">
        <f aca="false">ENGINE!$BH37</f>
        <v>105.856931488468</v>
      </c>
      <c r="N37" s="12" t="n">
        <f aca="false">ENGINE!$BI37</f>
        <v>89.9091084035387</v>
      </c>
      <c r="O37" s="13" t="str">
        <f aca="false">INDEX(REGIONS!$B$7:$B$14,MATCH(MIN(ENGINE!$AY37:$BF37),ENGINE!$AY37:$BF37,0))</f>
        <v>Eastern Australia</v>
      </c>
      <c r="P37" s="12" t="n">
        <f aca="false">MIN(ENGINE!$AY37:$BF37)</f>
        <v>88.31742</v>
      </c>
      <c r="Q37" s="11" t="n">
        <f aca="false">ENGINE!$BQ37</f>
        <v>0.673432953380023</v>
      </c>
      <c r="R37" s="13" t="str">
        <f aca="false">INDEX(ASSUMPTIONS!$B$28:$B$34,MATCH(ENGINE!$BQ37,ASSUMPTIONS!$A$28:$A$34,1))</f>
        <v>Nothing. No one is looking.</v>
      </c>
      <c r="S37" s="13" t="str">
        <f aca="false">IF(ENGINE!$BQ37&gt;=200,"EXPOSED — run over",IF(ENGINE!$BO37&lt;0,"INSOLVENT — programme suspended",IF(AND($A37&gt;8,ENGINE!$BK37&lt;=ASSUMPTIONS!$B$12+1),"Committee is asking what you are for","running")))</f>
        <v>Committee is asking what you are for</v>
      </c>
    </row>
    <row r="38" customFormat="false" ht="15" hidden="false" customHeight="false" outlineLevel="0" collapsed="false">
      <c r="A38" s="13" t="n">
        <v>31</v>
      </c>
      <c r="B38" s="11" t="n">
        <f aca="false">CLIMATE!B38</f>
        <v>1953</v>
      </c>
      <c r="C38" s="13" t="str">
        <f aca="false">CLIMATE!C38</f>
        <v>Summer</v>
      </c>
      <c r="D38" s="10" t="s">
        <v>79</v>
      </c>
      <c r="E38" s="10"/>
      <c r="F38" s="10" t="s">
        <v>79</v>
      </c>
      <c r="G38" s="10"/>
      <c r="H38" s="10" t="n">
        <v>0</v>
      </c>
      <c r="I38" s="11" t="n">
        <f aca="false">ENGINE!$BO38</f>
        <v>258.721993018415</v>
      </c>
      <c r="J38" s="11" t="n">
        <f aca="false">ENGINE!$BK38</f>
        <v>28.047481</v>
      </c>
      <c r="K38" s="12" t="n">
        <f aca="false">ENGINE!$AY38</f>
        <v>100</v>
      </c>
      <c r="L38" s="12" t="n">
        <f aca="false">ENGINE!$BG38</f>
        <v>95.9202348</v>
      </c>
      <c r="M38" s="12" t="n">
        <f aca="false">ENGINE!$BH38</f>
        <v>107.785807644673</v>
      </c>
      <c r="N38" s="12" t="n">
        <f aca="false">ENGINE!$BI38</f>
        <v>91.6179364979717</v>
      </c>
      <c r="O38" s="13" t="str">
        <f aca="false">INDEX(REGIONS!$B$7:$B$14,MATCH(MIN(ENGINE!$AY38:$BF38),ENGINE!$AY38:$BF38,0))</f>
        <v>Eastern Australia</v>
      </c>
      <c r="P38" s="12" t="n">
        <f aca="false">MIN(ENGINE!$AY38:$BF38)</f>
        <v>81.89828</v>
      </c>
      <c r="Q38" s="11" t="n">
        <f aca="false">ENGINE!$BQ38</f>
        <v>0.646495635244822</v>
      </c>
      <c r="R38" s="13" t="str">
        <f aca="false">INDEX(ASSUMPTIONS!$B$28:$B$34,MATCH(ENGINE!$BQ38,ASSUMPTIONS!$A$28:$A$34,1))</f>
        <v>Nothing. No one is looking.</v>
      </c>
      <c r="S38" s="13" t="str">
        <f aca="false">IF(ENGINE!$BQ38&gt;=200,"EXPOSED — run over",IF(ENGINE!$BO38&lt;0,"INSOLVENT — programme suspended",IF(AND($A38&gt;8,ENGINE!$BK38&lt;=ASSUMPTIONS!$B$12+1),"Committee is asking what you are for","running")))</f>
        <v>Committee is asking what you are for</v>
      </c>
    </row>
    <row r="39" customFormat="false" ht="15" hidden="false" customHeight="false" outlineLevel="0" collapsed="false">
      <c r="A39" s="13" t="n">
        <v>32</v>
      </c>
      <c r="B39" s="11" t="n">
        <f aca="false">CLIMATE!B39</f>
        <v>1953</v>
      </c>
      <c r="C39" s="13" t="str">
        <f aca="false">CLIMATE!C39</f>
        <v>Autumn</v>
      </c>
      <c r="D39" s="10" t="s">
        <v>79</v>
      </c>
      <c r="E39" s="10"/>
      <c r="F39" s="10" t="s">
        <v>79</v>
      </c>
      <c r="G39" s="10"/>
      <c r="H39" s="10" t="n">
        <v>0</v>
      </c>
      <c r="I39" s="11" t="n">
        <f aca="false">ENGINE!$BO39</f>
        <v>265.712992800997</v>
      </c>
      <c r="J39" s="11" t="n">
        <f aca="false">ENGINE!$BK39</f>
        <v>30.546418</v>
      </c>
      <c r="K39" s="12" t="n">
        <f aca="false">ENGINE!$AY39</f>
        <v>100</v>
      </c>
      <c r="L39" s="12" t="n">
        <f aca="false">ENGINE!$BG39</f>
        <v>93.5563222</v>
      </c>
      <c r="M39" s="12" t="n">
        <f aca="false">ENGINE!$BH39</f>
        <v>112.737486103751</v>
      </c>
      <c r="N39" s="12" t="n">
        <f aca="false">ENGINE!$BI39</f>
        <v>95.8268631881885</v>
      </c>
      <c r="O39" s="13" t="str">
        <f aca="false">INDEX(REGIONS!$B$7:$B$14,MATCH(MIN(ENGINE!$AY39:$BF39),ENGINE!$AY39:$BF39,0))</f>
        <v>Eastern Australia</v>
      </c>
      <c r="P39" s="12" t="n">
        <f aca="false">MIN(ENGINE!$AY39:$BF39)</f>
        <v>80.50962</v>
      </c>
      <c r="Q39" s="11" t="n">
        <f aca="false">ENGINE!$BQ39</f>
        <v>0.620635809835029</v>
      </c>
      <c r="R39" s="13" t="str">
        <f aca="false">INDEX(ASSUMPTIONS!$B$28:$B$34,MATCH(ENGINE!$BQ39,ASSUMPTIONS!$A$28:$A$34,1))</f>
        <v>Nothing. No one is looking.</v>
      </c>
      <c r="S39" s="13" t="str">
        <f aca="false">IF(ENGINE!$BQ39&gt;=200,"EXPOSED — run over",IF(ENGINE!$BO39&lt;0,"INSOLVENT — programme suspended",IF(AND($A39&gt;8,ENGINE!$BK39&lt;=ASSUMPTIONS!$B$12+1),"Committee is asking what you are for","running")))</f>
        <v>running</v>
      </c>
    </row>
    <row r="40" customFormat="false" ht="15" hidden="false" customHeight="false" outlineLevel="0" collapsed="false">
      <c r="A40" s="8" t="n">
        <v>33</v>
      </c>
      <c r="B40" s="9" t="n">
        <f aca="false">CLIMATE!B40</f>
        <v>1954</v>
      </c>
      <c r="C40" s="8" t="str">
        <f aca="false">CLIMATE!C40</f>
        <v>Winter</v>
      </c>
      <c r="D40" s="10" t="s">
        <v>79</v>
      </c>
      <c r="E40" s="10"/>
      <c r="F40" s="10" t="s">
        <v>79</v>
      </c>
      <c r="G40" s="10"/>
      <c r="H40" s="10" t="n">
        <v>0</v>
      </c>
      <c r="I40" s="11" t="n">
        <f aca="false">ENGINE!$BO40</f>
        <v>270.038915790471</v>
      </c>
      <c r="J40" s="11" t="n">
        <f aca="false">ENGINE!$BK40</f>
        <v>28.274806</v>
      </c>
      <c r="K40" s="12" t="n">
        <f aca="false">ENGINE!$AY40</f>
        <v>100</v>
      </c>
      <c r="L40" s="12" t="n">
        <f aca="false">ENGINE!$BG40</f>
        <v>96.4849528</v>
      </c>
      <c r="M40" s="12" t="n">
        <f aca="false">ENGINE!$BH40</f>
        <v>106.652917543859</v>
      </c>
      <c r="N40" s="12" t="n">
        <f aca="false">ENGINE!$BI40</f>
        <v>90.6549799122803</v>
      </c>
      <c r="O40" s="13" t="str">
        <f aca="false">INDEX(REGIONS!$B$7:$B$14,MATCH(MIN(ENGINE!$AY40:$BF40),ENGINE!$AY40:$BF40,0))</f>
        <v>South Asia</v>
      </c>
      <c r="P40" s="12" t="n">
        <f aca="false">MIN(ENGINE!$AY40:$BF40)</f>
        <v>88.82296</v>
      </c>
      <c r="Q40" s="11" t="n">
        <f aca="false">ENGINE!$BQ40</f>
        <v>0.595810377441628</v>
      </c>
      <c r="R40" s="13" t="str">
        <f aca="false">INDEX(ASSUMPTIONS!$B$28:$B$34,MATCH(ENGINE!$BQ40,ASSUMPTIONS!$A$28:$A$34,1))</f>
        <v>Nothing. No one is looking.</v>
      </c>
      <c r="S40" s="13" t="str">
        <f aca="false">IF(ENGINE!$BQ40&gt;=200,"EXPOSED — run over",IF(ENGINE!$BO40&lt;0,"INSOLVENT — programme suspended",IF(AND($A40&gt;8,ENGINE!$BK40&lt;=ASSUMPTIONS!$B$12+1),"Committee is asking what you are for","running")))</f>
        <v>Committee is asking what you are for</v>
      </c>
    </row>
    <row r="41" customFormat="false" ht="15" hidden="false" customHeight="false" outlineLevel="0" collapsed="false">
      <c r="A41" s="13" t="n">
        <v>34</v>
      </c>
      <c r="B41" s="11" t="n">
        <f aca="false">CLIMATE!B41</f>
        <v>1954</v>
      </c>
      <c r="C41" s="13" t="str">
        <f aca="false">CLIMATE!C41</f>
        <v>Spring</v>
      </c>
      <c r="D41" s="10" t="s">
        <v>79</v>
      </c>
      <c r="E41" s="10"/>
      <c r="F41" s="10" t="s">
        <v>79</v>
      </c>
      <c r="G41" s="10"/>
      <c r="H41" s="10" t="n">
        <v>0</v>
      </c>
      <c r="I41" s="11" t="n">
        <f aca="false">ENGINE!$BO41</f>
        <v>273.521998171828</v>
      </c>
      <c r="J41" s="11" t="n">
        <f aca="false">ENGINE!$BK41</f>
        <v>28</v>
      </c>
      <c r="K41" s="12" t="n">
        <f aca="false">ENGINE!$AY41</f>
        <v>97.6396</v>
      </c>
      <c r="L41" s="12" t="n">
        <f aca="false">ENGINE!$BG41</f>
        <v>98.2379656</v>
      </c>
      <c r="M41" s="12" t="n">
        <f aca="false">ENGINE!$BH41</f>
        <v>103.251685945625</v>
      </c>
      <c r="N41" s="12" t="n">
        <f aca="false">ENGINE!$BI41</f>
        <v>85.6923531779801</v>
      </c>
      <c r="O41" s="13" t="str">
        <f aca="false">INDEX(REGIONS!$B$7:$B$14,MATCH(MIN(ENGINE!$AY41:$BF41),ENGINE!$AY41:$BF41,0))</f>
        <v>Sahel</v>
      </c>
      <c r="P41" s="12" t="n">
        <f aca="false">MIN(ENGINE!$AY41:$BF41)</f>
        <v>94.5806</v>
      </c>
      <c r="Q41" s="11" t="n">
        <f aca="false">ENGINE!$BQ41</f>
        <v>0.571977962343963</v>
      </c>
      <c r="R41" s="13" t="str">
        <f aca="false">INDEX(ASSUMPTIONS!$B$28:$B$34,MATCH(ENGINE!$BQ41,ASSUMPTIONS!$A$28:$A$34,1))</f>
        <v>Nothing. No one is looking.</v>
      </c>
      <c r="S41" s="13" t="str">
        <f aca="false">IF(ENGINE!$BQ41&gt;=200,"EXPOSED — run over",IF(ENGINE!$BO41&lt;0,"INSOLVENT — programme suspended",IF(AND($A41&gt;8,ENGINE!$BK41&lt;=ASSUMPTIONS!$B$12+1),"Committee is asking what you are for","running")))</f>
        <v>Committee is asking what you are for</v>
      </c>
    </row>
    <row r="42" customFormat="false" ht="15" hidden="false" customHeight="false" outlineLevel="0" collapsed="false">
      <c r="A42" s="13" t="n">
        <v>35</v>
      </c>
      <c r="B42" s="11" t="n">
        <f aca="false">CLIMATE!B42</f>
        <v>1954</v>
      </c>
      <c r="C42" s="13" t="str">
        <f aca="false">CLIMATE!C42</f>
        <v>Summer</v>
      </c>
      <c r="D42" s="10" t="s">
        <v>79</v>
      </c>
      <c r="E42" s="10"/>
      <c r="F42" s="10" t="s">
        <v>79</v>
      </c>
      <c r="G42" s="10"/>
      <c r="H42" s="10" t="n">
        <v>0</v>
      </c>
      <c r="I42" s="11" t="n">
        <f aca="false">ENGINE!$BO42</f>
        <v>276.480207962438</v>
      </c>
      <c r="J42" s="11" t="n">
        <f aca="false">ENGINE!$BK42</f>
        <v>28</v>
      </c>
      <c r="K42" s="12" t="n">
        <f aca="false">ENGINE!$AY42</f>
        <v>93.4116</v>
      </c>
      <c r="L42" s="12" t="n">
        <f aca="false">ENGINE!$BG42</f>
        <v>98.68232</v>
      </c>
      <c r="M42" s="12" t="n">
        <f aca="false">ENGINE!$BH42</f>
        <v>102.416320282861</v>
      </c>
      <c r="N42" s="12" t="n">
        <f aca="false">ENGINE!$BI42</f>
        <v>81.3184149217432</v>
      </c>
      <c r="O42" s="13" t="str">
        <f aca="false">INDEX(REGIONS!$B$7:$B$14,MATCH(MIN(ENGINE!$AY42:$BF42),ENGINE!$AY42:$BF42,0))</f>
        <v>North American Plains</v>
      </c>
      <c r="P42" s="12" t="n">
        <f aca="false">MIN(ENGINE!$AY42:$BF42)</f>
        <v>93.4116</v>
      </c>
      <c r="Q42" s="11" t="n">
        <f aca="false">ENGINE!$BQ42</f>
        <v>0.549098843850205</v>
      </c>
      <c r="R42" s="13" t="str">
        <f aca="false">INDEX(ASSUMPTIONS!$B$28:$B$34,MATCH(ENGINE!$BQ42,ASSUMPTIONS!$A$28:$A$34,1))</f>
        <v>Nothing. No one is looking.</v>
      </c>
      <c r="S42" s="13" t="str">
        <f aca="false">IF(ENGINE!$BQ42&gt;=200,"EXPOSED — run over",IF(ENGINE!$BO42&lt;0,"INSOLVENT — programme suspended",IF(AND($A42&gt;8,ENGINE!$BK42&lt;=ASSUMPTIONS!$B$12+1),"Committee is asking what you are for","running")))</f>
        <v>Committee is asking what you are for</v>
      </c>
    </row>
    <row r="43" customFormat="false" ht="15" hidden="false" customHeight="false" outlineLevel="0" collapsed="false">
      <c r="A43" s="13" t="n">
        <v>36</v>
      </c>
      <c r="B43" s="11" t="n">
        <f aca="false">CLIMATE!B43</f>
        <v>1954</v>
      </c>
      <c r="C43" s="13" t="str">
        <f aca="false">CLIMATE!C43</f>
        <v>Autumn</v>
      </c>
      <c r="D43" s="10" t="s">
        <v>79</v>
      </c>
      <c r="E43" s="10"/>
      <c r="F43" s="10" t="s">
        <v>79</v>
      </c>
      <c r="G43" s="10"/>
      <c r="H43" s="10" t="n">
        <v>0</v>
      </c>
      <c r="I43" s="11" t="n">
        <f aca="false">ENGINE!$BO43</f>
        <v>279.486571802117</v>
      </c>
      <c r="J43" s="11" t="n">
        <f aca="false">ENGINE!$BK43</f>
        <v>28.049644</v>
      </c>
      <c r="K43" s="12" t="n">
        <f aca="false">ENGINE!$AY43</f>
        <v>92.153</v>
      </c>
      <c r="L43" s="12" t="n">
        <f aca="false">ENGINE!$BG43</f>
        <v>97.92205</v>
      </c>
      <c r="M43" s="12" t="n">
        <f aca="false">ENGINE!$BH43</f>
        <v>103.852057625382</v>
      </c>
      <c r="N43" s="12" t="n">
        <f aca="false">ENGINE!$BI43</f>
        <v>81.3473686639909</v>
      </c>
      <c r="O43" s="13" t="str">
        <f aca="false">INDEX(REGIONS!$B$7:$B$14,MATCH(MIN(ENGINE!$AY43:$BF43),ENGINE!$AY43:$BF43,0))</f>
        <v>North American Plains</v>
      </c>
      <c r="P43" s="12" t="n">
        <f aca="false">MIN(ENGINE!$AY43:$BF43)</f>
        <v>92.153</v>
      </c>
      <c r="Q43" s="11" t="n">
        <f aca="false">ENGINE!$BQ43</f>
        <v>0.527134890096196</v>
      </c>
      <c r="R43" s="13" t="str">
        <f aca="false">INDEX(ASSUMPTIONS!$B$28:$B$34,MATCH(ENGINE!$BQ43,ASSUMPTIONS!$A$28:$A$34,1))</f>
        <v>Nothing. No one is looking.</v>
      </c>
      <c r="S43" s="13" t="str">
        <f aca="false">IF(ENGINE!$BQ43&gt;=200,"EXPOSED — run over",IF(ENGINE!$BO43&lt;0,"INSOLVENT — programme suspended",IF(AND($A43&gt;8,ENGINE!$BK43&lt;=ASSUMPTIONS!$B$12+1),"Committee is asking what you are for","running")))</f>
        <v>Committee is asking what you are for</v>
      </c>
    </row>
    <row r="44" customFormat="false" ht="15" hidden="false" customHeight="false" outlineLevel="0" collapsed="false">
      <c r="A44" s="8" t="n">
        <v>37</v>
      </c>
      <c r="B44" s="9" t="n">
        <f aca="false">CLIMATE!B44</f>
        <v>1955</v>
      </c>
      <c r="C44" s="8" t="str">
        <f aca="false">CLIMATE!C44</f>
        <v>Winter</v>
      </c>
      <c r="D44" s="10" t="s">
        <v>79</v>
      </c>
      <c r="E44" s="10"/>
      <c r="F44" s="10" t="s">
        <v>79</v>
      </c>
      <c r="G44" s="10"/>
      <c r="H44" s="10" t="n">
        <v>0</v>
      </c>
      <c r="I44" s="11" t="n">
        <f aca="false">ENGINE!$BO44</f>
        <v>283.014775195324</v>
      </c>
      <c r="J44" s="11" t="n">
        <f aca="false">ENGINE!$BK44</f>
        <v>28</v>
      </c>
      <c r="K44" s="12" t="n">
        <f aca="false">ENGINE!$AY44</f>
        <v>100</v>
      </c>
      <c r="L44" s="12" t="n">
        <f aca="false">ENGINE!$BG44</f>
        <v>99.3084784</v>
      </c>
      <c r="M44" s="12" t="n">
        <f aca="false">ENGINE!$BH44</f>
        <v>101.256896011835</v>
      </c>
      <c r="N44" s="12" t="n">
        <f aca="false">ENGINE!$BI44</f>
        <v>86.0683616100598</v>
      </c>
      <c r="O44" s="13" t="str">
        <f aca="false">INDEX(REGIONS!$B$7:$B$14,MATCH(MIN(ENGINE!$AY44:$BF44),ENGINE!$AY44:$BF44,0))</f>
        <v>Black Sea Steppe</v>
      </c>
      <c r="P44" s="12" t="n">
        <f aca="false">MIN(ENGINE!$AY44:$BF44)</f>
        <v>97.12174</v>
      </c>
      <c r="Q44" s="11" t="n">
        <f aca="false">ENGINE!$BQ44</f>
        <v>0.506049494492348</v>
      </c>
      <c r="R44" s="13" t="str">
        <f aca="false">INDEX(ASSUMPTIONS!$B$28:$B$34,MATCH(ENGINE!$BQ44,ASSUMPTIONS!$A$28:$A$34,1))</f>
        <v>Nothing. No one is looking.</v>
      </c>
      <c r="S44" s="13" t="str">
        <f aca="false">IF(ENGINE!$BQ44&gt;=200,"EXPOSED — run over",IF(ENGINE!$BO44&lt;0,"INSOLVENT — programme suspended",IF(AND($A44&gt;8,ENGINE!$BK44&lt;=ASSUMPTIONS!$B$12+1),"Committee is asking what you are for","running")))</f>
        <v>Committee is asking what you are for</v>
      </c>
    </row>
    <row r="45" customFormat="false" ht="15" hidden="false" customHeight="false" outlineLevel="0" collapsed="false">
      <c r="A45" s="13" t="n">
        <v>38</v>
      </c>
      <c r="B45" s="11" t="n">
        <f aca="false">CLIMATE!B45</f>
        <v>1955</v>
      </c>
      <c r="C45" s="13" t="str">
        <f aca="false">CLIMATE!C45</f>
        <v>Spring</v>
      </c>
      <c r="D45" s="10" t="s">
        <v>79</v>
      </c>
      <c r="E45" s="10"/>
      <c r="F45" s="10" t="s">
        <v>79</v>
      </c>
      <c r="G45" s="10"/>
      <c r="H45" s="10" t="n">
        <v>0</v>
      </c>
      <c r="I45" s="11" t="n">
        <f aca="false">ENGINE!$BO45</f>
        <v>286.384889905517</v>
      </c>
      <c r="J45" s="11" t="n">
        <f aca="false">ENGINE!$BK45</f>
        <v>28</v>
      </c>
      <c r="K45" s="12" t="n">
        <f aca="false">ENGINE!$AY45</f>
        <v>97.2966</v>
      </c>
      <c r="L45" s="12" t="n">
        <f aca="false">ENGINE!$BG45</f>
        <v>98.6496496</v>
      </c>
      <c r="M45" s="12" t="n">
        <f aca="false">ENGINE!$BH45</f>
        <v>102.477380466204</v>
      </c>
      <c r="N45" s="12" t="n">
        <f aca="false">ENGINE!$BI45</f>
        <v>84.7509559182781</v>
      </c>
      <c r="O45" s="13" t="str">
        <f aca="false">INDEX(REGIONS!$B$7:$B$14,MATCH(MIN(ENGINE!$AY45:$BF45),ENGINE!$AY45:$BF45,0))</f>
        <v>Black Sea Steppe</v>
      </c>
      <c r="P45" s="12" t="n">
        <f aca="false">MIN(ENGINE!$AY45:$BF45)</f>
        <v>94.93956</v>
      </c>
      <c r="Q45" s="11" t="n">
        <f aca="false">ENGINE!$BQ45</f>
        <v>0.485807514712654</v>
      </c>
      <c r="R45" s="13" t="str">
        <f aca="false">INDEX(ASSUMPTIONS!$B$28:$B$34,MATCH(ENGINE!$BQ45,ASSUMPTIONS!$A$28:$A$34,1))</f>
        <v>Nothing. No one is looking.</v>
      </c>
      <c r="S45" s="13" t="str">
        <f aca="false">IF(ENGINE!$BQ45&gt;=200,"EXPOSED — run over",IF(ENGINE!$BO45&lt;0,"INSOLVENT — programme suspended",IF(AND($A45&gt;8,ENGINE!$BK45&lt;=ASSUMPTIONS!$B$12+1),"Committee is asking what you are for","running")))</f>
        <v>Committee is asking what you are for</v>
      </c>
    </row>
    <row r="46" customFormat="false" ht="15" hidden="false" customHeight="false" outlineLevel="0" collapsed="false">
      <c r="A46" s="13" t="n">
        <v>39</v>
      </c>
      <c r="B46" s="11" t="n">
        <f aca="false">CLIMATE!B46</f>
        <v>1955</v>
      </c>
      <c r="C46" s="13" t="str">
        <f aca="false">CLIMATE!C46</f>
        <v>Summer</v>
      </c>
      <c r="D46" s="10" t="s">
        <v>79</v>
      </c>
      <c r="E46" s="10"/>
      <c r="F46" s="10" t="s">
        <v>79</v>
      </c>
      <c r="G46" s="10"/>
      <c r="H46" s="10" t="n">
        <v>0</v>
      </c>
      <c r="I46" s="11" t="n">
        <f aca="false">ENGINE!$BO46</f>
        <v>294.016502583117</v>
      </c>
      <c r="J46" s="11" t="n">
        <f aca="false">ENGINE!$BK46</f>
        <v>32.353447</v>
      </c>
      <c r="K46" s="12" t="n">
        <f aca="false">ENGINE!$AY46</f>
        <v>100</v>
      </c>
      <c r="L46" s="12" t="n">
        <f aca="false">ENGINE!$BG46</f>
        <v>98.332208</v>
      </c>
      <c r="M46" s="12" t="n">
        <f aca="false">ENGINE!$BH46</f>
        <v>103.07363115294</v>
      </c>
      <c r="N46" s="12" t="n">
        <f aca="false">ENGINE!$BI46</f>
        <v>87.6125864799991</v>
      </c>
      <c r="O46" s="13" t="str">
        <f aca="false">INDEX(REGIONS!$B$7:$B$14,MATCH(MIN(ENGINE!$AY46:$BF46),ENGINE!$AY46:$BF46,0))</f>
        <v>Black Sea Steppe</v>
      </c>
      <c r="P46" s="12" t="n">
        <f aca="false">MIN(ENGINE!$AY46:$BF46)</f>
        <v>94.2404</v>
      </c>
      <c r="Q46" s="11" t="n">
        <f aca="false">ENGINE!$BQ46</f>
        <v>0.466375214124148</v>
      </c>
      <c r="R46" s="13" t="str">
        <f aca="false">INDEX(ASSUMPTIONS!$B$28:$B$34,MATCH(ENGINE!$BQ46,ASSUMPTIONS!$A$28:$A$34,1))</f>
        <v>Nothing. No one is looking.</v>
      </c>
      <c r="S46" s="13" t="str">
        <f aca="false">IF(ENGINE!$BQ46&gt;=200,"EXPOSED — run over",IF(ENGINE!$BO46&lt;0,"INSOLVENT — programme suspended",IF(AND($A46&gt;8,ENGINE!$BK46&lt;=ASSUMPTIONS!$B$12+1),"Committee is asking what you are for","running")))</f>
        <v>running</v>
      </c>
    </row>
    <row r="47" customFormat="false" ht="15" hidden="false" customHeight="false" outlineLevel="0" collapsed="false">
      <c r="A47" s="13" t="n">
        <v>40</v>
      </c>
      <c r="B47" s="11" t="n">
        <f aca="false">CLIMATE!B47</f>
        <v>1955</v>
      </c>
      <c r="C47" s="13" t="str">
        <f aca="false">CLIMATE!C47</f>
        <v>Autumn</v>
      </c>
      <c r="D47" s="10" t="s">
        <v>79</v>
      </c>
      <c r="E47" s="10"/>
      <c r="F47" s="10" t="s">
        <v>79</v>
      </c>
      <c r="G47" s="10"/>
      <c r="H47" s="10" t="n">
        <v>0</v>
      </c>
      <c r="I47" s="11" t="n">
        <f aca="false">ENGINE!$BO47</f>
        <v>300.587086721908</v>
      </c>
      <c r="J47" s="11" t="n">
        <f aca="false">ENGINE!$BK47</f>
        <v>30.77116</v>
      </c>
      <c r="K47" s="12" t="n">
        <f aca="false">ENGINE!$AY47</f>
        <v>98.0386</v>
      </c>
      <c r="L47" s="12" t="n">
        <f aca="false">ENGINE!$BG47</f>
        <v>95.4389904</v>
      </c>
      <c r="M47" s="12" t="n">
        <f aca="false">ENGINE!$BH47</f>
        <v>108.766084438925</v>
      </c>
      <c r="N47" s="12" t="n">
        <f aca="false">ENGINE!$BI47</f>
        <v>90.6378344899287</v>
      </c>
      <c r="O47" s="13" t="str">
        <f aca="false">INDEX(REGIONS!$B$7:$B$14,MATCH(MIN(ENGINE!$AY47:$BF47),ENGINE!$AY47:$BF47,0))</f>
        <v>Horn of Africa</v>
      </c>
      <c r="P47" s="12" t="n">
        <f aca="false">MIN(ENGINE!$AY47:$BF47)</f>
        <v>78.72616</v>
      </c>
      <c r="Q47" s="11" t="n">
        <f aca="false">ENGINE!$BQ47</f>
        <v>0.447720205559182</v>
      </c>
      <c r="R47" s="13" t="str">
        <f aca="false">INDEX(ASSUMPTIONS!$B$28:$B$34,MATCH(ENGINE!$BQ47,ASSUMPTIONS!$A$28:$A$34,1))</f>
        <v>Nothing. No one is looking.</v>
      </c>
      <c r="S47" s="13" t="str">
        <f aca="false">IF(ENGINE!$BQ47&gt;=200,"EXPOSED — run over",IF(ENGINE!$BO47&lt;0,"INSOLVENT — programme suspended",IF(AND($A47&gt;8,ENGINE!$BK47&lt;=ASSUMPTIONS!$B$12+1),"Committee is asking what you are for","running")))</f>
        <v>running</v>
      </c>
    </row>
  </sheetData>
  <mergeCells count="3">
    <mergeCell ref="A1:S1"/>
    <mergeCell ref="A2:S2"/>
    <mergeCell ref="A4:S5"/>
  </mergeCells>
  <dataValidations count="2">
    <dataValidation allowBlank="true" errorStyle="stop" operator="between" showDropDown="false" showErrorMessage="false" showInputMessage="false" sqref="D8:D47 F8:F47" type="list">
      <formula1>CAPABILITIES!$A$7:$A$15</formula1>
      <formula2>0</formula2>
    </dataValidation>
    <dataValidation allowBlank="true" errorStyle="stop" operator="between" showDropDown="false" showErrorMessage="false" showInputMessage="false" sqref="E8:E47 G8:G47" type="list">
      <formula1>REGIONS!$B$7:$B$14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9"/>
    <col collapsed="false" customWidth="true" hidden="false" outlineLevel="0" max="15" min="4" style="0" width="13"/>
  </cols>
  <sheetData>
    <row r="1" customFormat="false" ht="25.5" hidden="false" customHeight="true" outlineLevel="0" collapsed="false">
      <c r="A1" s="1" t="s">
        <v>80</v>
      </c>
      <c r="B1" s="1"/>
      <c r="C1" s="1"/>
      <c r="D1" s="1"/>
      <c r="E1" s="1"/>
      <c r="F1" s="1"/>
      <c r="G1" s="1"/>
      <c r="H1" s="1"/>
      <c r="I1" s="1"/>
      <c r="J1" s="1"/>
      <c r="K1" s="1"/>
      <c r="L1" s="1"/>
      <c r="M1" s="1"/>
      <c r="N1" s="1"/>
    </row>
    <row r="3" customFormat="false" ht="15" hidden="false" customHeight="true" outlineLevel="0" collapsed="false">
      <c r="A3" s="14" t="s">
        <v>81</v>
      </c>
      <c r="B3" s="14"/>
      <c r="C3" s="14"/>
      <c r="D3" s="14"/>
      <c r="E3" s="14"/>
      <c r="F3" s="14"/>
      <c r="G3" s="14"/>
      <c r="H3" s="14"/>
      <c r="I3" s="14"/>
      <c r="J3" s="14"/>
      <c r="K3" s="14"/>
      <c r="L3" s="14"/>
      <c r="M3" s="14"/>
      <c r="N3" s="14"/>
    </row>
    <row r="4" customFormat="false" ht="15" hidden="false" customHeight="false" outlineLevel="0" collapsed="false">
      <c r="A4" s="14"/>
      <c r="B4" s="14"/>
      <c r="C4" s="14"/>
      <c r="D4" s="14"/>
      <c r="E4" s="14"/>
      <c r="F4" s="14"/>
      <c r="G4" s="14"/>
      <c r="H4" s="14"/>
      <c r="I4" s="14"/>
      <c r="J4" s="14"/>
      <c r="K4" s="14"/>
      <c r="L4" s="14"/>
      <c r="M4" s="14"/>
      <c r="N4" s="14"/>
    </row>
    <row r="6" customFormat="false" ht="30" hidden="false" customHeight="true" outlineLevel="0" collapsed="false">
      <c r="A6" s="7" t="s">
        <v>82</v>
      </c>
      <c r="B6" s="7" t="s">
        <v>60</v>
      </c>
      <c r="C6" s="7" t="s">
        <v>61</v>
      </c>
      <c r="D6" s="7" t="s">
        <v>83</v>
      </c>
      <c r="E6" s="7" t="s">
        <v>84</v>
      </c>
      <c r="F6" s="7" t="s">
        <v>85</v>
      </c>
      <c r="G6" s="7" t="s">
        <v>86</v>
      </c>
      <c r="H6" s="7" t="s">
        <v>87</v>
      </c>
      <c r="I6" s="7" t="s">
        <v>88</v>
      </c>
      <c r="J6" s="7" t="s">
        <v>89</v>
      </c>
      <c r="K6" s="7" t="s">
        <v>90</v>
      </c>
      <c r="L6" s="7" t="s">
        <v>91</v>
      </c>
      <c r="M6" s="7" t="s">
        <v>92</v>
      </c>
      <c r="N6" s="7" t="s">
        <v>93</v>
      </c>
      <c r="O6" s="7" t="s">
        <v>94</v>
      </c>
    </row>
    <row r="8" customFormat="false" ht="15" hidden="false" customHeight="false" outlineLevel="0" collapsed="false">
      <c r="A8" s="15" t="n">
        <v>1</v>
      </c>
      <c r="B8" s="16" t="n">
        <v>1946</v>
      </c>
      <c r="C8" s="15" t="s">
        <v>95</v>
      </c>
      <c r="D8" s="17" t="n">
        <v>1.297</v>
      </c>
      <c r="E8" s="17" t="n">
        <v>0.371</v>
      </c>
      <c r="F8" s="17" t="n">
        <v>0.215</v>
      </c>
      <c r="G8" s="17" t="n">
        <v>0</v>
      </c>
      <c r="H8" s="17" t="n">
        <v>0.2</v>
      </c>
      <c r="I8" s="17" t="n">
        <v>0.224</v>
      </c>
      <c r="J8" s="17" t="n">
        <v>0.153</v>
      </c>
      <c r="K8" s="17" t="n">
        <v>0.013</v>
      </c>
      <c r="L8" s="17" t="n">
        <v>0.338</v>
      </c>
      <c r="M8" s="17" t="n">
        <v>0.149</v>
      </c>
      <c r="N8" s="17" t="n">
        <v>-0.04</v>
      </c>
      <c r="O8" s="17" t="n">
        <v>-0.225</v>
      </c>
    </row>
    <row r="9" customFormat="false" ht="15" hidden="false" customHeight="false" outlineLevel="0" collapsed="false">
      <c r="A9" s="15" t="n">
        <v>2</v>
      </c>
      <c r="B9" s="16" t="n">
        <v>1946</v>
      </c>
      <c r="C9" s="15" t="s">
        <v>96</v>
      </c>
      <c r="D9" s="17" t="n">
        <v>1.188</v>
      </c>
      <c r="E9" s="17" t="n">
        <v>0.084</v>
      </c>
      <c r="F9" s="17" t="n">
        <v>0.074</v>
      </c>
      <c r="G9" s="17" t="n">
        <v>0</v>
      </c>
      <c r="H9" s="17" t="n">
        <v>0.039</v>
      </c>
      <c r="I9" s="17" t="n">
        <v>0.012</v>
      </c>
      <c r="J9" s="17" t="n">
        <v>0.408</v>
      </c>
      <c r="K9" s="17" t="n">
        <v>0.272</v>
      </c>
      <c r="L9" s="17" t="n">
        <v>0.129</v>
      </c>
      <c r="M9" s="17" t="n">
        <v>-0.008</v>
      </c>
      <c r="N9" s="17" t="n">
        <v>-0.135</v>
      </c>
      <c r="O9" s="17" t="n">
        <v>-0.253</v>
      </c>
    </row>
    <row r="10" customFormat="false" ht="15" hidden="false" customHeight="false" outlineLevel="0" collapsed="false">
      <c r="A10" s="15" t="n">
        <v>3</v>
      </c>
      <c r="B10" s="16" t="n">
        <v>1946</v>
      </c>
      <c r="C10" s="15" t="s">
        <v>97</v>
      </c>
      <c r="D10" s="17" t="n">
        <v>0.675</v>
      </c>
      <c r="E10" s="17" t="n">
        <v>-0.667</v>
      </c>
      <c r="F10" s="17" t="n">
        <v>0.024</v>
      </c>
      <c r="G10" s="17" t="n">
        <v>0</v>
      </c>
      <c r="H10" s="17" t="n">
        <v>0.311</v>
      </c>
      <c r="I10" s="17" t="n">
        <v>0.284</v>
      </c>
      <c r="J10" s="17" t="n">
        <v>0.237</v>
      </c>
      <c r="K10" s="17" t="n">
        <v>0.194</v>
      </c>
      <c r="L10" s="17" t="n">
        <v>0.165</v>
      </c>
      <c r="M10" s="17" t="n">
        <v>-0.351</v>
      </c>
      <c r="N10" s="17" t="n">
        <v>-0.354</v>
      </c>
      <c r="O10" s="17" t="n">
        <v>-0.348</v>
      </c>
    </row>
    <row r="11" customFormat="false" ht="15" hidden="false" customHeight="false" outlineLevel="0" collapsed="false">
      <c r="A11" s="15" t="n">
        <v>4</v>
      </c>
      <c r="B11" s="16" t="n">
        <v>1946</v>
      </c>
      <c r="C11" s="15" t="s">
        <v>98</v>
      </c>
      <c r="D11" s="17" t="n">
        <v>0.489</v>
      </c>
      <c r="E11" s="17" t="n">
        <v>-1.236</v>
      </c>
      <c r="F11" s="17" t="n">
        <v>0.309</v>
      </c>
      <c r="G11" s="17" t="n">
        <v>0</v>
      </c>
      <c r="H11" s="17" t="n">
        <v>0.091</v>
      </c>
      <c r="I11" s="17" t="n">
        <v>-0.198</v>
      </c>
      <c r="J11" s="17" t="n">
        <v>0.033</v>
      </c>
      <c r="K11" s="17" t="n">
        <v>-0.214</v>
      </c>
      <c r="L11" s="17" t="n">
        <v>0.055</v>
      </c>
      <c r="M11" s="17" t="n">
        <v>-0.163</v>
      </c>
      <c r="N11" s="17" t="n">
        <v>-0.372</v>
      </c>
      <c r="O11" s="17" t="n">
        <v>-0.074</v>
      </c>
    </row>
    <row r="12" customFormat="false" ht="15" hidden="false" customHeight="false" outlineLevel="0" collapsed="false">
      <c r="A12" s="15" t="n">
        <v>5</v>
      </c>
      <c r="B12" s="16" t="n">
        <v>1947</v>
      </c>
      <c r="C12" s="15" t="s">
        <v>95</v>
      </c>
      <c r="D12" s="17" t="n">
        <v>0.702</v>
      </c>
      <c r="E12" s="17" t="n">
        <v>-0.658</v>
      </c>
      <c r="F12" s="17" t="n">
        <v>0.547</v>
      </c>
      <c r="G12" s="17" t="n">
        <v>0</v>
      </c>
      <c r="H12" s="17" t="n">
        <v>-0.329</v>
      </c>
      <c r="I12" s="17" t="n">
        <v>-0.241</v>
      </c>
      <c r="J12" s="17" t="n">
        <v>-0.129</v>
      </c>
      <c r="K12" s="17" t="n">
        <v>-0.001</v>
      </c>
      <c r="L12" s="17" t="n">
        <v>-0.362</v>
      </c>
      <c r="M12" s="17" t="n">
        <v>-0.217</v>
      </c>
      <c r="N12" s="17" t="n">
        <v>-0.068</v>
      </c>
      <c r="O12" s="17" t="n">
        <v>-0.417</v>
      </c>
    </row>
    <row r="13" customFormat="false" ht="15" hidden="false" customHeight="false" outlineLevel="0" collapsed="false">
      <c r="A13" s="15" t="n">
        <v>6</v>
      </c>
      <c r="B13" s="16" t="n">
        <v>1947</v>
      </c>
      <c r="C13" s="15" t="s">
        <v>96</v>
      </c>
      <c r="D13" s="17" t="n">
        <v>0.229</v>
      </c>
      <c r="E13" s="17" t="n">
        <v>0.532</v>
      </c>
      <c r="F13" s="17" t="n">
        <v>0.941</v>
      </c>
      <c r="G13" s="17" t="n">
        <v>0</v>
      </c>
      <c r="H13" s="17" t="n">
        <v>-0.121</v>
      </c>
      <c r="I13" s="17" t="n">
        <v>-0.057</v>
      </c>
      <c r="J13" s="17" t="n">
        <v>0.015</v>
      </c>
      <c r="K13" s="17" t="n">
        <v>-0.409</v>
      </c>
      <c r="L13" s="17" t="n">
        <v>-0.331</v>
      </c>
      <c r="M13" s="17" t="n">
        <v>-0.252</v>
      </c>
      <c r="N13" s="17" t="n">
        <v>-0.174</v>
      </c>
      <c r="O13" s="17" t="n">
        <v>-0.096</v>
      </c>
    </row>
    <row r="14" customFormat="false" ht="15" hidden="false" customHeight="false" outlineLevel="0" collapsed="false">
      <c r="A14" s="15" t="n">
        <v>7</v>
      </c>
      <c r="B14" s="16" t="n">
        <v>1947</v>
      </c>
      <c r="C14" s="15" t="s">
        <v>97</v>
      </c>
      <c r="D14" s="17" t="n">
        <v>0.048</v>
      </c>
      <c r="E14" s="17" t="n">
        <v>0.464</v>
      </c>
      <c r="F14" s="17" t="n">
        <v>0.385</v>
      </c>
      <c r="G14" s="17" t="n">
        <v>0</v>
      </c>
      <c r="H14" s="17" t="n">
        <v>0.057</v>
      </c>
      <c r="I14" s="17" t="n">
        <v>-0.119</v>
      </c>
      <c r="J14" s="17" t="n">
        <v>-0.298</v>
      </c>
      <c r="K14" s="17" t="n">
        <v>0.02</v>
      </c>
      <c r="L14" s="17" t="n">
        <v>-0.162</v>
      </c>
      <c r="M14" s="17" t="n">
        <v>-0.347</v>
      </c>
      <c r="N14" s="17" t="n">
        <v>-0.032</v>
      </c>
      <c r="O14" s="17" t="n">
        <v>-0.218</v>
      </c>
    </row>
    <row r="15" customFormat="false" ht="15" hidden="false" customHeight="false" outlineLevel="0" collapsed="false">
      <c r="A15" s="15" t="n">
        <v>8</v>
      </c>
      <c r="B15" s="16" t="n">
        <v>1947</v>
      </c>
      <c r="C15" s="15" t="s">
        <v>98</v>
      </c>
      <c r="D15" s="17" t="n">
        <v>-0.85</v>
      </c>
      <c r="E15" s="17" t="n">
        <v>0.368</v>
      </c>
      <c r="F15" s="17" t="n">
        <v>0.602</v>
      </c>
      <c r="G15" s="17" t="n">
        <v>0</v>
      </c>
      <c r="H15" s="17" t="n">
        <v>0.061</v>
      </c>
      <c r="I15" s="17" t="n">
        <v>-0.135</v>
      </c>
      <c r="J15" s="17" t="n">
        <v>0.168</v>
      </c>
      <c r="K15" s="17" t="n">
        <v>-0.028</v>
      </c>
      <c r="L15" s="17" t="n">
        <v>-0.224</v>
      </c>
      <c r="M15" s="17" t="n">
        <v>0.079</v>
      </c>
      <c r="N15" s="17" t="n">
        <v>-0.117</v>
      </c>
      <c r="O15" s="17" t="n">
        <v>0.187</v>
      </c>
    </row>
    <row r="16" customFormat="false" ht="15" hidden="false" customHeight="false" outlineLevel="0" collapsed="false">
      <c r="A16" s="15" t="n">
        <v>9</v>
      </c>
      <c r="B16" s="16" t="n">
        <v>1948</v>
      </c>
      <c r="C16" s="15" t="s">
        <v>95</v>
      </c>
      <c r="D16" s="17" t="n">
        <v>-1.58</v>
      </c>
      <c r="E16" s="17" t="n">
        <v>0.727</v>
      </c>
      <c r="F16" s="17" t="n">
        <v>0.214</v>
      </c>
      <c r="G16" s="17" t="n">
        <v>0</v>
      </c>
      <c r="H16" s="17" t="n">
        <v>0.41</v>
      </c>
      <c r="I16" s="17" t="n">
        <v>-0.045</v>
      </c>
      <c r="J16" s="17" t="n">
        <v>0.002</v>
      </c>
      <c r="K16" s="17" t="n">
        <v>0.051</v>
      </c>
      <c r="L16" s="17" t="n">
        <v>0.101</v>
      </c>
      <c r="M16" s="17" t="n">
        <v>0.153</v>
      </c>
      <c r="N16" s="17" t="n">
        <v>0.206</v>
      </c>
      <c r="O16" s="17" t="n">
        <v>0.26</v>
      </c>
    </row>
    <row r="17" customFormat="false" ht="15" hidden="false" customHeight="false" outlineLevel="0" collapsed="false">
      <c r="A17" s="15" t="n">
        <v>10</v>
      </c>
      <c r="B17" s="16" t="n">
        <v>1948</v>
      </c>
      <c r="C17" s="15" t="s">
        <v>96</v>
      </c>
      <c r="D17" s="17" t="n">
        <v>-1.107</v>
      </c>
      <c r="E17" s="17" t="n">
        <v>0.664</v>
      </c>
      <c r="F17" s="17" t="n">
        <v>0.327</v>
      </c>
      <c r="G17" s="17" t="n">
        <v>0</v>
      </c>
      <c r="H17" s="17" t="n">
        <v>0.43</v>
      </c>
      <c r="I17" s="17" t="n">
        <v>0.313</v>
      </c>
      <c r="J17" s="17" t="n">
        <v>0.189</v>
      </c>
      <c r="K17" s="17" t="n">
        <v>0.06</v>
      </c>
      <c r="L17" s="17" t="n">
        <v>0.429</v>
      </c>
      <c r="M17" s="17" t="n">
        <v>0.298</v>
      </c>
      <c r="N17" s="17" t="n">
        <v>0.167</v>
      </c>
      <c r="O17" s="17" t="n">
        <v>0.036</v>
      </c>
    </row>
    <row r="18" customFormat="false" ht="15" hidden="false" customHeight="false" outlineLevel="0" collapsed="false">
      <c r="A18" s="15" t="n">
        <v>11</v>
      </c>
      <c r="B18" s="16" t="n">
        <v>1948</v>
      </c>
      <c r="C18" s="15" t="s">
        <v>97</v>
      </c>
      <c r="D18" s="17" t="n">
        <v>-0.472</v>
      </c>
      <c r="E18" s="17" t="n">
        <v>-0.06</v>
      </c>
      <c r="F18" s="17" t="n">
        <v>0.552</v>
      </c>
      <c r="G18" s="17" t="n">
        <v>0</v>
      </c>
      <c r="H18" s="17" t="n">
        <v>-0.127</v>
      </c>
      <c r="I18" s="17" t="n">
        <v>-0.034</v>
      </c>
      <c r="J18" s="17" t="n">
        <v>0.033</v>
      </c>
      <c r="K18" s="17" t="n">
        <v>0.085</v>
      </c>
      <c r="L18" s="17" t="n">
        <v>0.126</v>
      </c>
      <c r="M18" s="17" t="n">
        <v>0.161</v>
      </c>
      <c r="N18" s="17" t="n">
        <v>0.192</v>
      </c>
      <c r="O18" s="17" t="n">
        <v>0.22</v>
      </c>
    </row>
    <row r="19" customFormat="false" ht="15" hidden="false" customHeight="false" outlineLevel="0" collapsed="false">
      <c r="A19" s="15" t="n">
        <v>12</v>
      </c>
      <c r="B19" s="16" t="n">
        <v>1948</v>
      </c>
      <c r="C19" s="15" t="s">
        <v>98</v>
      </c>
      <c r="D19" s="17" t="n">
        <v>-0.054</v>
      </c>
      <c r="E19" s="17" t="n">
        <v>-0.885</v>
      </c>
      <c r="F19" s="17" t="n">
        <v>0.401</v>
      </c>
      <c r="G19" s="17" t="n">
        <v>0</v>
      </c>
      <c r="H19" s="17" t="n">
        <v>0.052</v>
      </c>
      <c r="I19" s="17" t="n">
        <v>-0.058</v>
      </c>
      <c r="J19" s="17" t="n">
        <v>0.312</v>
      </c>
      <c r="K19" s="17" t="n">
        <v>0.161</v>
      </c>
      <c r="L19" s="17" t="n">
        <v>-0.008</v>
      </c>
      <c r="M19" s="17" t="n">
        <v>0.311</v>
      </c>
      <c r="N19" s="17" t="n">
        <v>0.121</v>
      </c>
      <c r="O19" s="17" t="n">
        <v>0.424</v>
      </c>
    </row>
    <row r="20" customFormat="false" ht="15" hidden="false" customHeight="false" outlineLevel="0" collapsed="false">
      <c r="A20" s="15" t="n">
        <v>13</v>
      </c>
      <c r="B20" s="16" t="n">
        <v>1949</v>
      </c>
      <c r="C20" s="15" t="s">
        <v>95</v>
      </c>
      <c r="D20" s="17" t="n">
        <v>-0.062</v>
      </c>
      <c r="E20" s="17" t="n">
        <v>-0.86</v>
      </c>
      <c r="F20" s="17" t="n">
        <v>0.1</v>
      </c>
      <c r="G20" s="17" t="n">
        <v>0</v>
      </c>
      <c r="H20" s="17" t="n">
        <v>-0.101</v>
      </c>
      <c r="I20" s="17" t="n">
        <v>-0.153</v>
      </c>
      <c r="J20" s="17" t="n">
        <v>-0.185</v>
      </c>
      <c r="K20" s="17" t="n">
        <v>-0.221</v>
      </c>
      <c r="L20" s="17" t="n">
        <v>0.229</v>
      </c>
      <c r="M20" s="17" t="n">
        <v>0.165</v>
      </c>
      <c r="N20" s="17" t="n">
        <v>0.09</v>
      </c>
      <c r="O20" s="17" t="n">
        <v>0.004</v>
      </c>
    </row>
    <row r="21" customFormat="false" ht="15" hidden="false" customHeight="false" outlineLevel="0" collapsed="false">
      <c r="A21" s="15" t="n">
        <v>14</v>
      </c>
      <c r="B21" s="16" t="n">
        <v>1949</v>
      </c>
      <c r="C21" s="15" t="s">
        <v>96</v>
      </c>
      <c r="D21" s="17" t="n">
        <v>0.172</v>
      </c>
      <c r="E21" s="17" t="n">
        <v>-0.084</v>
      </c>
      <c r="F21" s="17" t="n">
        <v>-0.229</v>
      </c>
      <c r="G21" s="17" t="n">
        <v>0</v>
      </c>
      <c r="H21" s="17" t="n">
        <v>-0.225</v>
      </c>
      <c r="I21" s="17" t="n">
        <v>-0.176</v>
      </c>
      <c r="J21" s="17" t="n">
        <v>-0.049</v>
      </c>
      <c r="K21" s="17" t="n">
        <v>0.109</v>
      </c>
      <c r="L21" s="17" t="n">
        <v>-0.226</v>
      </c>
      <c r="M21" s="17" t="n">
        <v>-0.067</v>
      </c>
      <c r="N21" s="17" t="n">
        <v>0.083</v>
      </c>
      <c r="O21" s="17" t="n">
        <v>0.223</v>
      </c>
    </row>
    <row r="22" customFormat="false" ht="15" hidden="false" customHeight="false" outlineLevel="0" collapsed="false">
      <c r="A22" s="15" t="n">
        <v>15</v>
      </c>
      <c r="B22" s="16" t="n">
        <v>1949</v>
      </c>
      <c r="C22" s="15" t="s">
        <v>97</v>
      </c>
      <c r="D22" s="17" t="n">
        <v>0.582</v>
      </c>
      <c r="E22" s="17" t="n">
        <v>-0.199</v>
      </c>
      <c r="F22" s="17" t="n">
        <v>-0.52</v>
      </c>
      <c r="G22" s="17" t="n">
        <v>0</v>
      </c>
      <c r="H22" s="17" t="n">
        <v>0.237</v>
      </c>
      <c r="I22" s="17" t="n">
        <v>-0.029</v>
      </c>
      <c r="J22" s="17" t="n">
        <v>-0.201</v>
      </c>
      <c r="K22" s="17" t="n">
        <v>-0.305</v>
      </c>
      <c r="L22" s="17" t="n">
        <v>-0.372</v>
      </c>
      <c r="M22" s="17" t="n">
        <v>0.073</v>
      </c>
      <c r="N22" s="17" t="n">
        <v>0.02</v>
      </c>
      <c r="O22" s="17" t="n">
        <v>-0.039</v>
      </c>
    </row>
    <row r="23" customFormat="false" ht="15" hidden="false" customHeight="false" outlineLevel="0" collapsed="false">
      <c r="A23" s="15" t="n">
        <v>16</v>
      </c>
      <c r="B23" s="16" t="n">
        <v>1949</v>
      </c>
      <c r="C23" s="15" t="s">
        <v>98</v>
      </c>
      <c r="D23" s="17" t="n">
        <v>1.207</v>
      </c>
      <c r="E23" s="17" t="n">
        <v>0.379</v>
      </c>
      <c r="F23" s="17" t="n">
        <v>-0.075</v>
      </c>
      <c r="G23" s="17" t="n">
        <v>0</v>
      </c>
      <c r="H23" s="17" t="n">
        <v>-0.023</v>
      </c>
      <c r="I23" s="17" t="n">
        <v>0.144</v>
      </c>
      <c r="J23" s="17" t="n">
        <v>-0.159</v>
      </c>
      <c r="K23" s="17" t="n">
        <v>-0.388</v>
      </c>
      <c r="L23" s="17" t="n">
        <v>-0.058</v>
      </c>
      <c r="M23" s="17" t="n">
        <v>-0.192</v>
      </c>
      <c r="N23" s="17" t="n">
        <v>-0.308</v>
      </c>
      <c r="O23" s="17" t="n">
        <v>0.081</v>
      </c>
    </row>
    <row r="24" customFormat="false" ht="15" hidden="false" customHeight="false" outlineLevel="0" collapsed="false">
      <c r="A24" s="15" t="n">
        <v>17</v>
      </c>
      <c r="B24" s="16" t="n">
        <v>1950</v>
      </c>
      <c r="C24" s="15" t="s">
        <v>95</v>
      </c>
      <c r="D24" s="17" t="n">
        <v>1.255</v>
      </c>
      <c r="E24" s="17" t="n">
        <v>0.823</v>
      </c>
      <c r="F24" s="17" t="n">
        <v>-0.38</v>
      </c>
      <c r="G24" s="17" t="n">
        <v>0</v>
      </c>
      <c r="H24" s="17" t="n">
        <v>0.241</v>
      </c>
      <c r="I24" s="17" t="n">
        <v>0.294</v>
      </c>
      <c r="J24" s="17" t="n">
        <v>-0.25</v>
      </c>
      <c r="K24" s="17" t="n">
        <v>-0.267</v>
      </c>
      <c r="L24" s="17" t="n">
        <v>-0.226</v>
      </c>
      <c r="M24" s="17" t="n">
        <v>-0.134</v>
      </c>
      <c r="N24" s="17" t="n">
        <v>-0.008</v>
      </c>
      <c r="O24" s="17" t="n">
        <v>-0.362</v>
      </c>
    </row>
    <row r="25" customFormat="false" ht="15" hidden="false" customHeight="false" outlineLevel="0" collapsed="false">
      <c r="A25" s="15" t="n">
        <v>18</v>
      </c>
      <c r="B25" s="16" t="n">
        <v>1950</v>
      </c>
      <c r="C25" s="15" t="s">
        <v>96</v>
      </c>
      <c r="D25" s="17" t="n">
        <v>0.667</v>
      </c>
      <c r="E25" s="17" t="n">
        <v>1.093</v>
      </c>
      <c r="F25" s="17" t="n">
        <v>-0.516</v>
      </c>
      <c r="G25" s="17" t="n">
        <v>0</v>
      </c>
      <c r="H25" s="17" t="n">
        <v>-0.036</v>
      </c>
      <c r="I25" s="17" t="n">
        <v>0.279</v>
      </c>
      <c r="J25" s="17" t="n">
        <v>0.39</v>
      </c>
      <c r="K25" s="17" t="n">
        <v>-0.061</v>
      </c>
      <c r="L25" s="17" t="n">
        <v>0.01</v>
      </c>
      <c r="M25" s="17" t="n">
        <v>-0.371</v>
      </c>
      <c r="N25" s="17" t="n">
        <v>-0.209</v>
      </c>
      <c r="O25" s="17" t="n">
        <v>-0.015</v>
      </c>
    </row>
    <row r="26" customFormat="false" ht="15" hidden="false" customHeight="false" outlineLevel="0" collapsed="false">
      <c r="A26" s="15" t="n">
        <v>19</v>
      </c>
      <c r="B26" s="16" t="n">
        <v>1950</v>
      </c>
      <c r="C26" s="15" t="s">
        <v>97</v>
      </c>
      <c r="D26" s="17" t="n">
        <v>0.07</v>
      </c>
      <c r="E26" s="17" t="n">
        <v>0.099</v>
      </c>
      <c r="F26" s="17" t="n">
        <v>-0.384</v>
      </c>
      <c r="G26" s="17" t="n">
        <v>0</v>
      </c>
      <c r="H26" s="17" t="n">
        <v>-0.318</v>
      </c>
      <c r="I26" s="17" t="n">
        <v>0.008</v>
      </c>
      <c r="J26" s="17" t="n">
        <v>0.143</v>
      </c>
      <c r="K26" s="17" t="n">
        <v>0.13</v>
      </c>
      <c r="L26" s="17" t="n">
        <v>0.076</v>
      </c>
      <c r="M26" s="17" t="n">
        <v>0.04</v>
      </c>
      <c r="N26" s="17" t="n">
        <v>0.044</v>
      </c>
      <c r="O26" s="17" t="n">
        <v>-0.415</v>
      </c>
    </row>
    <row r="27" customFormat="false" ht="15" hidden="false" customHeight="false" outlineLevel="0" collapsed="false">
      <c r="A27" s="15" t="n">
        <v>20</v>
      </c>
      <c r="B27" s="16" t="n">
        <v>1950</v>
      </c>
      <c r="C27" s="15" t="s">
        <v>98</v>
      </c>
      <c r="D27" s="17" t="n">
        <v>-0.136</v>
      </c>
      <c r="E27" s="17" t="n">
        <v>-0.728</v>
      </c>
      <c r="F27" s="17" t="n">
        <v>-1.053</v>
      </c>
      <c r="G27" s="17" t="n">
        <v>0</v>
      </c>
      <c r="H27" s="17" t="n">
        <v>-0.012</v>
      </c>
      <c r="I27" s="17" t="n">
        <v>-0.247</v>
      </c>
      <c r="J27" s="17" t="n">
        <v>-0.006</v>
      </c>
      <c r="K27" s="17" t="n">
        <v>0.063</v>
      </c>
      <c r="L27" s="17" t="n">
        <v>0.023</v>
      </c>
      <c r="M27" s="17" t="n">
        <v>-0.045</v>
      </c>
      <c r="N27" s="17" t="n">
        <v>-0.097</v>
      </c>
      <c r="O27" s="17" t="n">
        <v>-0.116</v>
      </c>
    </row>
    <row r="28" customFormat="false" ht="15" hidden="false" customHeight="false" outlineLevel="0" collapsed="false">
      <c r="A28" s="15" t="n">
        <v>21</v>
      </c>
      <c r="B28" s="16" t="n">
        <v>1951</v>
      </c>
      <c r="C28" s="15" t="s">
        <v>95</v>
      </c>
      <c r="D28" s="17" t="n">
        <v>-0.274</v>
      </c>
      <c r="E28" s="17" t="n">
        <v>-0.668</v>
      </c>
      <c r="F28" s="17" t="n">
        <v>-0.689</v>
      </c>
      <c r="G28" s="17" t="n">
        <v>0</v>
      </c>
      <c r="H28" s="17" t="n">
        <v>-0.138</v>
      </c>
      <c r="I28" s="17" t="n">
        <v>0.057</v>
      </c>
      <c r="J28" s="17" t="n">
        <v>-0.034</v>
      </c>
      <c r="K28" s="17" t="n">
        <v>0.279</v>
      </c>
      <c r="L28" s="17" t="n">
        <v>0.448</v>
      </c>
      <c r="M28" s="17" t="n">
        <v>0.036</v>
      </c>
      <c r="N28" s="17" t="n">
        <v>0.105</v>
      </c>
      <c r="O28" s="17" t="n">
        <v>-0.312</v>
      </c>
    </row>
    <row r="29" customFormat="false" ht="15" hidden="false" customHeight="false" outlineLevel="0" collapsed="false">
      <c r="A29" s="15" t="n">
        <v>22</v>
      </c>
      <c r="B29" s="16" t="n">
        <v>1951</v>
      </c>
      <c r="C29" s="15" t="s">
        <v>96</v>
      </c>
      <c r="D29" s="17" t="n">
        <v>-0.525</v>
      </c>
      <c r="E29" s="17" t="n">
        <v>-0.446</v>
      </c>
      <c r="F29" s="17" t="n">
        <v>-0.706</v>
      </c>
      <c r="G29" s="17" t="n">
        <v>0</v>
      </c>
      <c r="H29" s="17" t="n">
        <v>-0.077</v>
      </c>
      <c r="I29" s="17" t="n">
        <v>-0.131</v>
      </c>
      <c r="J29" s="17" t="n">
        <v>-0.319</v>
      </c>
      <c r="K29" s="17" t="n">
        <v>0.052</v>
      </c>
      <c r="L29" s="17" t="n">
        <v>0.307</v>
      </c>
      <c r="M29" s="17" t="n">
        <v>-0.054</v>
      </c>
      <c r="N29" s="17" t="n">
        <v>0.024</v>
      </c>
      <c r="O29" s="17" t="n">
        <v>0.088</v>
      </c>
    </row>
    <row r="30" customFormat="false" ht="15" hidden="false" customHeight="false" outlineLevel="0" collapsed="false">
      <c r="A30" s="15" t="n">
        <v>23</v>
      </c>
      <c r="B30" s="16" t="n">
        <v>1951</v>
      </c>
      <c r="C30" s="15" t="s">
        <v>97</v>
      </c>
      <c r="D30" s="17" t="n">
        <v>-1.461</v>
      </c>
      <c r="E30" s="17" t="n">
        <v>-0.593</v>
      </c>
      <c r="F30" s="17" t="n">
        <v>-0.391</v>
      </c>
      <c r="G30" s="17" t="n">
        <v>0</v>
      </c>
      <c r="H30" s="17" t="n">
        <v>0.314</v>
      </c>
      <c r="I30" s="17" t="n">
        <v>-0.18</v>
      </c>
      <c r="J30" s="17" t="n">
        <v>-0.381</v>
      </c>
      <c r="K30" s="17" t="n">
        <v>0.143</v>
      </c>
      <c r="L30" s="17" t="n">
        <v>0.142</v>
      </c>
      <c r="M30" s="17" t="n">
        <v>0.03</v>
      </c>
      <c r="N30" s="17" t="n">
        <v>0.324</v>
      </c>
      <c r="O30" s="17" t="n">
        <v>0.072</v>
      </c>
    </row>
    <row r="31" customFormat="false" ht="15" hidden="false" customHeight="false" outlineLevel="0" collapsed="false">
      <c r="A31" s="15" t="n">
        <v>24</v>
      </c>
      <c r="B31" s="16" t="n">
        <v>1951</v>
      </c>
      <c r="C31" s="15" t="s">
        <v>98</v>
      </c>
      <c r="D31" s="17" t="n">
        <v>-1.249</v>
      </c>
      <c r="E31" s="17" t="n">
        <v>-0.507</v>
      </c>
      <c r="F31" s="17" t="n">
        <v>-0.298</v>
      </c>
      <c r="G31" s="17" t="n">
        <v>0</v>
      </c>
      <c r="H31" s="17" t="n">
        <v>0.042</v>
      </c>
      <c r="I31" s="17" t="n">
        <v>-0.086</v>
      </c>
      <c r="J31" s="17" t="n">
        <v>-0.216</v>
      </c>
      <c r="K31" s="17" t="n">
        <v>-0.043</v>
      </c>
      <c r="L31" s="17" t="n">
        <v>0.235</v>
      </c>
      <c r="M31" s="17" t="n">
        <v>-0.05</v>
      </c>
      <c r="N31" s="17" t="n">
        <v>0.064</v>
      </c>
      <c r="O31" s="17" t="n">
        <v>0.104</v>
      </c>
    </row>
    <row r="32" customFormat="false" ht="15" hidden="false" customHeight="false" outlineLevel="0" collapsed="false">
      <c r="A32" s="15" t="n">
        <v>25</v>
      </c>
      <c r="B32" s="16" t="n">
        <v>1952</v>
      </c>
      <c r="C32" s="15" t="s">
        <v>95</v>
      </c>
      <c r="D32" s="17" t="n">
        <v>-0.795</v>
      </c>
      <c r="E32" s="17" t="n">
        <v>0.68</v>
      </c>
      <c r="F32" s="17" t="n">
        <v>-0.345</v>
      </c>
      <c r="G32" s="17" t="n">
        <v>0</v>
      </c>
      <c r="H32" s="17" t="n">
        <v>-0.112</v>
      </c>
      <c r="I32" s="17" t="n">
        <v>0.071</v>
      </c>
      <c r="J32" s="17" t="n">
        <v>-0.103</v>
      </c>
      <c r="K32" s="17" t="n">
        <v>-0.048</v>
      </c>
      <c r="L32" s="17" t="n">
        <v>-0.278</v>
      </c>
      <c r="M32" s="17" t="n">
        <v>0.016</v>
      </c>
      <c r="N32" s="17" t="n">
        <v>0.235</v>
      </c>
      <c r="O32" s="17" t="n">
        <v>0.366</v>
      </c>
    </row>
    <row r="33" customFormat="false" ht="15" hidden="false" customHeight="false" outlineLevel="0" collapsed="false">
      <c r="A33" s="15" t="n">
        <v>26</v>
      </c>
      <c r="B33" s="16" t="n">
        <v>1952</v>
      </c>
      <c r="C33" s="15" t="s">
        <v>96</v>
      </c>
      <c r="D33" s="17" t="n">
        <v>-0.054</v>
      </c>
      <c r="E33" s="17" t="n">
        <v>0.992</v>
      </c>
      <c r="F33" s="17" t="n">
        <v>-0.329</v>
      </c>
      <c r="G33" s="17" t="n">
        <v>0</v>
      </c>
      <c r="H33" s="17" t="n">
        <v>0.022</v>
      </c>
      <c r="I33" s="17" t="n">
        <v>0.337</v>
      </c>
      <c r="J33" s="17" t="n">
        <v>0.117</v>
      </c>
      <c r="K33" s="17" t="n">
        <v>-0.093</v>
      </c>
      <c r="L33" s="17" t="n">
        <v>-0.05</v>
      </c>
      <c r="M33" s="17" t="n">
        <v>0.116</v>
      </c>
      <c r="N33" s="17" t="n">
        <v>0.261</v>
      </c>
      <c r="O33" s="17" t="n">
        <v>0.329</v>
      </c>
    </row>
    <row r="34" customFormat="false" ht="15" hidden="false" customHeight="false" outlineLevel="0" collapsed="false">
      <c r="A34" s="15" t="n">
        <v>27</v>
      </c>
      <c r="B34" s="16" t="n">
        <v>1952</v>
      </c>
      <c r="C34" s="15" t="s">
        <v>97</v>
      </c>
      <c r="D34" s="17" t="n">
        <v>0.497</v>
      </c>
      <c r="E34" s="17" t="n">
        <v>0.785</v>
      </c>
      <c r="F34" s="17" t="n">
        <v>-0.092</v>
      </c>
      <c r="G34" s="17" t="n">
        <v>0</v>
      </c>
      <c r="H34" s="17" t="n">
        <v>0.011</v>
      </c>
      <c r="I34" s="17" t="n">
        <v>0.012</v>
      </c>
      <c r="J34" s="17" t="n">
        <v>0.13</v>
      </c>
      <c r="K34" s="17" t="n">
        <v>-0.01</v>
      </c>
      <c r="L34" s="17" t="n">
        <v>-0.466</v>
      </c>
      <c r="M34" s="17" t="n">
        <v>-0.227</v>
      </c>
      <c r="N34" s="17" t="n">
        <v>0.067</v>
      </c>
      <c r="O34" s="17" t="n">
        <v>0.318</v>
      </c>
    </row>
    <row r="35" customFormat="false" ht="15" hidden="false" customHeight="false" outlineLevel="0" collapsed="false">
      <c r="A35" s="15" t="n">
        <v>28</v>
      </c>
      <c r="B35" s="16" t="n">
        <v>1952</v>
      </c>
      <c r="C35" s="15" t="s">
        <v>98</v>
      </c>
      <c r="D35" s="17" t="n">
        <v>0.22</v>
      </c>
      <c r="E35" s="17" t="n">
        <v>0.125</v>
      </c>
      <c r="F35" s="17" t="n">
        <v>-0.015</v>
      </c>
      <c r="G35" s="17" t="n">
        <v>0</v>
      </c>
      <c r="H35" s="17" t="n">
        <v>-0.084</v>
      </c>
      <c r="I35" s="17" t="n">
        <v>-0.023</v>
      </c>
      <c r="J35" s="17" t="n">
        <v>0.082</v>
      </c>
      <c r="K35" s="17" t="n">
        <v>-0.247</v>
      </c>
      <c r="L35" s="17" t="n">
        <v>-0.058</v>
      </c>
      <c r="M35" s="17" t="n">
        <v>-0.16</v>
      </c>
      <c r="N35" s="17" t="n">
        <v>-0.134</v>
      </c>
      <c r="O35" s="17" t="n">
        <v>-0.098</v>
      </c>
    </row>
    <row r="36" customFormat="false" ht="15" hidden="false" customHeight="false" outlineLevel="0" collapsed="false">
      <c r="A36" s="15" t="n">
        <v>29</v>
      </c>
      <c r="B36" s="16" t="n">
        <v>1953</v>
      </c>
      <c r="C36" s="15" t="s">
        <v>95</v>
      </c>
      <c r="D36" s="17" t="n">
        <v>0.547</v>
      </c>
      <c r="E36" s="17" t="n">
        <v>-0.384</v>
      </c>
      <c r="F36" s="17" t="n">
        <v>0.552</v>
      </c>
      <c r="G36" s="17" t="n">
        <v>0</v>
      </c>
      <c r="H36" s="17" t="n">
        <v>-0.103</v>
      </c>
      <c r="I36" s="17" t="n">
        <v>-0.391</v>
      </c>
      <c r="J36" s="17" t="n">
        <v>0.324</v>
      </c>
      <c r="K36" s="17" t="n">
        <v>0.131</v>
      </c>
      <c r="L36" s="17" t="n">
        <v>-0.249</v>
      </c>
      <c r="M36" s="17" t="n">
        <v>0.018</v>
      </c>
      <c r="N36" s="17" t="n">
        <v>-0.039</v>
      </c>
      <c r="O36" s="17" t="n">
        <v>-0.025</v>
      </c>
    </row>
    <row r="37" customFormat="false" ht="15" hidden="false" customHeight="false" outlineLevel="0" collapsed="false">
      <c r="A37" s="15" t="n">
        <v>30</v>
      </c>
      <c r="B37" s="16" t="n">
        <v>1953</v>
      </c>
      <c r="C37" s="15" t="s">
        <v>96</v>
      </c>
      <c r="D37" s="17" t="n">
        <v>1.004</v>
      </c>
      <c r="E37" s="17" t="n">
        <v>-0.15</v>
      </c>
      <c r="F37" s="17" t="n">
        <v>0.446</v>
      </c>
      <c r="G37" s="17" t="n">
        <v>0</v>
      </c>
      <c r="H37" s="17" t="n">
        <v>-0.054</v>
      </c>
      <c r="I37" s="17" t="n">
        <v>-0.239</v>
      </c>
      <c r="J37" s="17" t="n">
        <v>0.264</v>
      </c>
      <c r="K37" s="17" t="n">
        <v>0.105</v>
      </c>
      <c r="L37" s="17" t="n">
        <v>0.103</v>
      </c>
      <c r="M37" s="17" t="n">
        <v>-0.38</v>
      </c>
      <c r="N37" s="17" t="n">
        <v>-0.188</v>
      </c>
      <c r="O37" s="17" t="n">
        <v>0.13</v>
      </c>
    </row>
    <row r="38" customFormat="false" ht="15" hidden="false" customHeight="false" outlineLevel="0" collapsed="false">
      <c r="A38" s="15" t="n">
        <v>31</v>
      </c>
      <c r="B38" s="16" t="n">
        <v>1953</v>
      </c>
      <c r="C38" s="15" t="s">
        <v>97</v>
      </c>
      <c r="D38" s="17" t="n">
        <v>1.415</v>
      </c>
      <c r="E38" s="17" t="n">
        <v>-0.731</v>
      </c>
      <c r="F38" s="17" t="n">
        <v>0.447</v>
      </c>
      <c r="G38" s="17" t="n">
        <v>0</v>
      </c>
      <c r="H38" s="17" t="n">
        <v>0.221</v>
      </c>
      <c r="I38" s="17" t="n">
        <v>-0.364</v>
      </c>
      <c r="J38" s="17" t="n">
        <v>0</v>
      </c>
      <c r="K38" s="17" t="n">
        <v>0.069</v>
      </c>
      <c r="L38" s="17" t="n">
        <v>0.263</v>
      </c>
      <c r="M38" s="17" t="n">
        <v>-0.181</v>
      </c>
      <c r="N38" s="17" t="n">
        <v>-0.005</v>
      </c>
      <c r="O38" s="17" t="n">
        <v>-0.174</v>
      </c>
    </row>
    <row r="39" customFormat="false" ht="15" hidden="false" customHeight="false" outlineLevel="0" collapsed="false">
      <c r="A39" s="15" t="n">
        <v>32</v>
      </c>
      <c r="B39" s="16" t="n">
        <v>1953</v>
      </c>
      <c r="C39" s="15" t="s">
        <v>98</v>
      </c>
      <c r="D39" s="17" t="n">
        <v>1.032</v>
      </c>
      <c r="E39" s="17" t="n">
        <v>-0.779</v>
      </c>
      <c r="F39" s="17" t="n">
        <v>0.34</v>
      </c>
      <c r="G39" s="17" t="n">
        <v>0</v>
      </c>
      <c r="H39" s="17" t="n">
        <v>0.148</v>
      </c>
      <c r="I39" s="17" t="n">
        <v>-0.205</v>
      </c>
      <c r="J39" s="17" t="n">
        <v>-0.154</v>
      </c>
      <c r="K39" s="17" t="n">
        <v>-0.091</v>
      </c>
      <c r="L39" s="17" t="n">
        <v>0.222</v>
      </c>
      <c r="M39" s="17" t="n">
        <v>-0.236</v>
      </c>
      <c r="N39" s="17" t="n">
        <v>-0.174</v>
      </c>
      <c r="O39" s="17" t="n">
        <v>0.035</v>
      </c>
    </row>
    <row r="40" customFormat="false" ht="15" hidden="false" customHeight="false" outlineLevel="0" collapsed="false">
      <c r="A40" s="15" t="n">
        <v>33</v>
      </c>
      <c r="B40" s="16" t="n">
        <v>1954</v>
      </c>
      <c r="C40" s="15" t="s">
        <v>95</v>
      </c>
      <c r="D40" s="17" t="n">
        <v>0.35</v>
      </c>
      <c r="E40" s="17" t="n">
        <v>0.111</v>
      </c>
      <c r="F40" s="17" t="n">
        <v>0.442</v>
      </c>
      <c r="G40" s="17" t="n">
        <v>0</v>
      </c>
      <c r="H40" s="17" t="n">
        <v>-0.146</v>
      </c>
      <c r="I40" s="17" t="n">
        <v>0.12</v>
      </c>
      <c r="J40" s="17" t="n">
        <v>-0.237</v>
      </c>
      <c r="K40" s="17" t="n">
        <v>-0.005</v>
      </c>
      <c r="L40" s="17" t="n">
        <v>0.228</v>
      </c>
      <c r="M40" s="17" t="n">
        <v>0.135</v>
      </c>
      <c r="N40" s="17" t="n">
        <v>-0.062</v>
      </c>
      <c r="O40" s="17" t="n">
        <v>-0.159</v>
      </c>
    </row>
    <row r="41" customFormat="false" ht="15" hidden="false" customHeight="false" outlineLevel="0" collapsed="false">
      <c r="A41" s="15" t="n">
        <v>34</v>
      </c>
      <c r="B41" s="16" t="n">
        <v>1954</v>
      </c>
      <c r="C41" s="15" t="s">
        <v>96</v>
      </c>
      <c r="D41" s="17" t="n">
        <v>-0.609</v>
      </c>
      <c r="E41" s="17" t="n">
        <v>0.531</v>
      </c>
      <c r="F41" s="17" t="n">
        <v>0.839</v>
      </c>
      <c r="G41" s="17" t="n">
        <v>0</v>
      </c>
      <c r="H41" s="17" t="n">
        <v>-0.273</v>
      </c>
      <c r="I41" s="17" t="n">
        <v>0.317</v>
      </c>
      <c r="J41" s="17" t="n">
        <v>-0.389</v>
      </c>
      <c r="K41" s="17" t="n">
        <v>-0.222</v>
      </c>
      <c r="L41" s="17" t="n">
        <v>0.229</v>
      </c>
      <c r="M41" s="17" t="n">
        <v>0.408</v>
      </c>
      <c r="N41" s="17" t="n">
        <v>-0.127</v>
      </c>
      <c r="O41" s="17" t="n">
        <v>-0.144</v>
      </c>
    </row>
    <row r="42" customFormat="false" ht="15" hidden="false" customHeight="false" outlineLevel="0" collapsed="false">
      <c r="A42" s="15" t="n">
        <v>35</v>
      </c>
      <c r="B42" s="16" t="n">
        <v>1954</v>
      </c>
      <c r="C42" s="15" t="s">
        <v>97</v>
      </c>
      <c r="D42" s="17" t="n">
        <v>-0.288</v>
      </c>
      <c r="E42" s="17" t="n">
        <v>0.933</v>
      </c>
      <c r="F42" s="17" t="n">
        <v>0.597</v>
      </c>
      <c r="G42" s="17" t="n">
        <v>0</v>
      </c>
      <c r="H42" s="17" t="n">
        <v>-0.408</v>
      </c>
      <c r="I42" s="17" t="n">
        <v>0.278</v>
      </c>
      <c r="J42" s="17" t="n">
        <v>-0.02</v>
      </c>
      <c r="K42" s="17" t="n">
        <v>-0.371</v>
      </c>
      <c r="L42" s="17" t="n">
        <v>0.258</v>
      </c>
      <c r="M42" s="17" t="n">
        <v>0.274</v>
      </c>
      <c r="N42" s="17" t="n">
        <v>0.014</v>
      </c>
      <c r="O42" s="17" t="n">
        <v>-0.325</v>
      </c>
    </row>
    <row r="43" customFormat="false" ht="15" hidden="false" customHeight="false" outlineLevel="0" collapsed="false">
      <c r="A43" s="15" t="n">
        <v>36</v>
      </c>
      <c r="B43" s="16" t="n">
        <v>1954</v>
      </c>
      <c r="C43" s="15" t="s">
        <v>98</v>
      </c>
      <c r="D43" s="17" t="n">
        <v>-0.276</v>
      </c>
      <c r="E43" s="17" t="n">
        <v>0.076</v>
      </c>
      <c r="F43" s="17" t="n">
        <v>0.633</v>
      </c>
      <c r="G43" s="17" t="n">
        <v>0</v>
      </c>
      <c r="H43" s="17" t="n">
        <v>-0.187</v>
      </c>
      <c r="I43" s="17" t="n">
        <v>0.029</v>
      </c>
      <c r="J43" s="17" t="n">
        <v>0.386</v>
      </c>
      <c r="K43" s="17" t="n">
        <v>-0.248</v>
      </c>
      <c r="L43" s="17" t="n">
        <v>0.115</v>
      </c>
      <c r="M43" s="17" t="n">
        <v>0.084</v>
      </c>
      <c r="N43" s="17" t="n">
        <v>0.291</v>
      </c>
      <c r="O43" s="17" t="n">
        <v>-0.174</v>
      </c>
    </row>
    <row r="44" customFormat="false" ht="15" hidden="false" customHeight="false" outlineLevel="0" collapsed="false">
      <c r="A44" s="15" t="n">
        <v>37</v>
      </c>
      <c r="B44" s="16" t="n">
        <v>1955</v>
      </c>
      <c r="C44" s="15" t="s">
        <v>95</v>
      </c>
      <c r="D44" s="17" t="n">
        <v>-0.692</v>
      </c>
      <c r="E44" s="17" t="n">
        <v>0.05</v>
      </c>
      <c r="F44" s="17" t="n">
        <v>0.453</v>
      </c>
      <c r="G44" s="17" t="n">
        <v>0</v>
      </c>
      <c r="H44" s="17" t="n">
        <v>0.318</v>
      </c>
      <c r="I44" s="17" t="n">
        <v>-0.08</v>
      </c>
      <c r="J44" s="17" t="n">
        <v>0.221</v>
      </c>
      <c r="K44" s="17" t="n">
        <v>-0.196</v>
      </c>
      <c r="L44" s="17" t="n">
        <v>-0.303</v>
      </c>
      <c r="M44" s="17" t="n">
        <v>-0.098</v>
      </c>
      <c r="N44" s="17" t="n">
        <v>0.44</v>
      </c>
      <c r="O44" s="17" t="n">
        <v>0.246</v>
      </c>
    </row>
    <row r="45" customFormat="false" ht="15" hidden="false" customHeight="false" outlineLevel="0" collapsed="false">
      <c r="A45" s="15" t="n">
        <v>38</v>
      </c>
      <c r="B45" s="16" t="n">
        <v>1955</v>
      </c>
      <c r="C45" s="15" t="s">
        <v>96</v>
      </c>
      <c r="D45" s="17" t="n">
        <v>-1.486</v>
      </c>
      <c r="E45" s="17" t="n">
        <v>0.112</v>
      </c>
      <c r="F45" s="17" t="n">
        <v>-0.137</v>
      </c>
      <c r="G45" s="17" t="n">
        <v>0</v>
      </c>
      <c r="H45" s="17" t="n">
        <v>0.052</v>
      </c>
      <c r="I45" s="17" t="n">
        <v>-0.238</v>
      </c>
      <c r="J45" s="17" t="n">
        <v>0.317</v>
      </c>
      <c r="K45" s="17" t="n">
        <v>-0.229</v>
      </c>
      <c r="L45" s="17" t="n">
        <v>-0.302</v>
      </c>
      <c r="M45" s="17" t="n">
        <v>0.06</v>
      </c>
      <c r="N45" s="17" t="n">
        <v>0.41</v>
      </c>
      <c r="O45" s="17" t="n">
        <v>0.021</v>
      </c>
    </row>
    <row r="46" customFormat="false" ht="15" hidden="false" customHeight="false" outlineLevel="0" collapsed="false">
      <c r="A46" s="15" t="n">
        <v>39</v>
      </c>
      <c r="B46" s="16" t="n">
        <v>1955</v>
      </c>
      <c r="C46" s="15" t="s">
        <v>97</v>
      </c>
      <c r="D46" s="17" t="n">
        <v>-1.346</v>
      </c>
      <c r="E46" s="17" t="n">
        <v>-0.598</v>
      </c>
      <c r="F46" s="17" t="n">
        <v>0.041</v>
      </c>
      <c r="G46" s="17" t="n">
        <v>0</v>
      </c>
      <c r="H46" s="17" t="n">
        <v>0.326</v>
      </c>
      <c r="I46" s="17" t="n">
        <v>-0.275</v>
      </c>
      <c r="J46" s="17" t="n">
        <v>0.106</v>
      </c>
      <c r="K46" s="17" t="n">
        <v>0.309</v>
      </c>
      <c r="L46" s="17" t="n">
        <v>-0.37</v>
      </c>
      <c r="M46" s="17" t="n">
        <v>-0.13</v>
      </c>
      <c r="N46" s="17" t="n">
        <v>0.275</v>
      </c>
      <c r="O46" s="17" t="n">
        <v>-0.007</v>
      </c>
    </row>
    <row r="47" customFormat="false" ht="15" hidden="false" customHeight="false" outlineLevel="0" collapsed="false">
      <c r="A47" s="15" t="n">
        <v>40</v>
      </c>
      <c r="B47" s="16" t="n">
        <v>1955</v>
      </c>
      <c r="C47" s="15" t="s">
        <v>98</v>
      </c>
      <c r="D47" s="17" t="n">
        <v>-0.249</v>
      </c>
      <c r="E47" s="17" t="n">
        <v>-1.197</v>
      </c>
      <c r="F47" s="17" t="n">
        <v>-0.122</v>
      </c>
      <c r="G47" s="17" t="n">
        <v>0</v>
      </c>
      <c r="H47" s="17" t="n">
        <v>0.116</v>
      </c>
      <c r="I47" s="17" t="n">
        <v>-0.25</v>
      </c>
      <c r="J47" s="17" t="n">
        <v>-0.287</v>
      </c>
      <c r="K47" s="17" t="n">
        <v>0.036</v>
      </c>
      <c r="L47" s="17" t="n">
        <v>-0.254</v>
      </c>
      <c r="M47" s="17" t="n">
        <v>-0.287</v>
      </c>
      <c r="N47" s="17" t="n">
        <v>-0.006</v>
      </c>
      <c r="O47" s="17" t="n">
        <v>0.194</v>
      </c>
    </row>
  </sheetData>
  <mergeCells count="2">
    <mergeCell ref="A1:N1"/>
    <mergeCell ref="A3:N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5"/>
    <col collapsed="false" customWidth="true" hidden="false" outlineLevel="0" max="5" min="5" style="0" width="14"/>
    <col collapsed="false" customWidth="true" hidden="false" outlineLevel="0" max="6" min="6" style="0" width="16"/>
    <col collapsed="false" customWidth="true" hidden="false" outlineLevel="0" max="7" min="7" style="0" width="11"/>
  </cols>
  <sheetData>
    <row r="1" customFormat="false" ht="25.5" hidden="false" customHeight="true" outlineLevel="0" collapsed="false">
      <c r="A1" s="1" t="s">
        <v>99</v>
      </c>
      <c r="B1" s="1"/>
      <c r="C1" s="1"/>
      <c r="D1" s="1"/>
      <c r="E1" s="1"/>
      <c r="F1" s="1"/>
      <c r="G1" s="1"/>
    </row>
    <row r="3" customFormat="false" ht="15" hidden="false" customHeight="true" outlineLevel="0" collapsed="false">
      <c r="A3" s="14" t="s">
        <v>100</v>
      </c>
      <c r="B3" s="14"/>
      <c r="C3" s="14"/>
      <c r="D3" s="14"/>
      <c r="E3" s="14"/>
      <c r="F3" s="14"/>
      <c r="G3" s="14"/>
    </row>
    <row r="4" customFormat="false" ht="15" hidden="false" customHeight="false" outlineLevel="0" collapsed="false">
      <c r="A4" s="14"/>
      <c r="B4" s="14"/>
      <c r="C4" s="14"/>
      <c r="D4" s="14"/>
      <c r="E4" s="14"/>
      <c r="F4" s="14"/>
      <c r="G4" s="14"/>
    </row>
    <row r="6" customFormat="false" ht="31.5" hidden="false" customHeight="true" outlineLevel="0" collapsed="false">
      <c r="A6" s="7" t="s">
        <v>101</v>
      </c>
      <c r="B6" s="7" t="s">
        <v>102</v>
      </c>
      <c r="C6" s="7" t="s">
        <v>103</v>
      </c>
      <c r="D6" s="7" t="s">
        <v>104</v>
      </c>
      <c r="E6" s="7" t="s">
        <v>105</v>
      </c>
      <c r="F6" s="7" t="s">
        <v>106</v>
      </c>
      <c r="G6" s="7" t="s">
        <v>107</v>
      </c>
    </row>
    <row r="7" customFormat="false" ht="15" hidden="false" customHeight="false" outlineLevel="0" collapsed="false">
      <c r="A7" s="18" t="n">
        <v>1</v>
      </c>
      <c r="B7" s="19" t="s">
        <v>108</v>
      </c>
      <c r="C7" s="18" t="s">
        <v>109</v>
      </c>
      <c r="D7" s="10" t="n">
        <v>20</v>
      </c>
      <c r="E7" s="10" t="n">
        <v>1</v>
      </c>
      <c r="F7" s="10" t="n">
        <v>0.8</v>
      </c>
      <c r="G7" s="19" t="s">
        <v>110</v>
      </c>
    </row>
    <row r="8" customFormat="false" ht="15" hidden="false" customHeight="false" outlineLevel="0" collapsed="false">
      <c r="A8" s="20" t="n">
        <v>2</v>
      </c>
      <c r="B8" s="21" t="s">
        <v>111</v>
      </c>
      <c r="C8" s="20" t="s">
        <v>112</v>
      </c>
      <c r="D8" s="22" t="n">
        <v>16</v>
      </c>
      <c r="E8" s="22" t="n">
        <v>1.1</v>
      </c>
      <c r="F8" s="22" t="n">
        <v>0.9</v>
      </c>
      <c r="G8" s="21"/>
    </row>
    <row r="9" customFormat="false" ht="15" hidden="false" customHeight="false" outlineLevel="0" collapsed="false">
      <c r="A9" s="20" t="n">
        <v>3</v>
      </c>
      <c r="B9" s="21" t="s">
        <v>113</v>
      </c>
      <c r="C9" s="20" t="s">
        <v>114</v>
      </c>
      <c r="D9" s="22" t="n">
        <v>15</v>
      </c>
      <c r="E9" s="22" t="n">
        <v>1</v>
      </c>
      <c r="F9" s="22" t="n">
        <v>0.9</v>
      </c>
      <c r="G9" s="21"/>
    </row>
    <row r="10" customFormat="false" ht="15" hidden="false" customHeight="false" outlineLevel="0" collapsed="false">
      <c r="A10" s="20" t="n">
        <v>4</v>
      </c>
      <c r="B10" s="21" t="s">
        <v>115</v>
      </c>
      <c r="C10" s="20" t="s">
        <v>116</v>
      </c>
      <c r="D10" s="22" t="n">
        <v>18</v>
      </c>
      <c r="E10" s="22" t="n">
        <v>1.2</v>
      </c>
      <c r="F10" s="22" t="n">
        <v>0.7</v>
      </c>
      <c r="G10" s="21"/>
    </row>
    <row r="11" customFormat="false" ht="15" hidden="false" customHeight="false" outlineLevel="0" collapsed="false">
      <c r="A11" s="20" t="n">
        <v>5</v>
      </c>
      <c r="B11" s="21" t="s">
        <v>117</v>
      </c>
      <c r="C11" s="20" t="s">
        <v>118</v>
      </c>
      <c r="D11" s="22" t="n">
        <v>12</v>
      </c>
      <c r="E11" s="22" t="n">
        <v>1.1</v>
      </c>
      <c r="F11" s="22" t="n">
        <v>0.7</v>
      </c>
      <c r="G11" s="21"/>
    </row>
    <row r="12" customFormat="false" ht="15" hidden="false" customHeight="false" outlineLevel="0" collapsed="false">
      <c r="A12" s="20" t="n">
        <v>6</v>
      </c>
      <c r="B12" s="21" t="s">
        <v>119</v>
      </c>
      <c r="C12" s="20" t="s">
        <v>112</v>
      </c>
      <c r="D12" s="22" t="n">
        <v>7</v>
      </c>
      <c r="E12" s="22" t="n">
        <v>1.3</v>
      </c>
      <c r="F12" s="22" t="n">
        <v>1.1</v>
      </c>
      <c r="G12" s="21"/>
    </row>
    <row r="13" customFormat="false" ht="15" hidden="false" customHeight="false" outlineLevel="0" collapsed="false">
      <c r="A13" s="20" t="n">
        <v>7</v>
      </c>
      <c r="B13" s="21" t="s">
        <v>78</v>
      </c>
      <c r="C13" s="20" t="s">
        <v>120</v>
      </c>
      <c r="D13" s="22" t="n">
        <v>6</v>
      </c>
      <c r="E13" s="22" t="n">
        <v>1.4</v>
      </c>
      <c r="F13" s="22" t="n">
        <v>1.2</v>
      </c>
      <c r="G13" s="21"/>
    </row>
    <row r="14" customFormat="false" ht="15" hidden="false" customHeight="false" outlineLevel="0" collapsed="false">
      <c r="A14" s="20" t="n">
        <v>8</v>
      </c>
      <c r="B14" s="21" t="s">
        <v>121</v>
      </c>
      <c r="C14" s="20" t="s">
        <v>122</v>
      </c>
      <c r="D14" s="22" t="n">
        <v>6</v>
      </c>
      <c r="E14" s="22" t="n">
        <v>1.4</v>
      </c>
      <c r="F14" s="22" t="n">
        <v>1.2</v>
      </c>
      <c r="G14" s="21"/>
    </row>
    <row r="16" customFormat="false" ht="15" hidden="false" customHeight="false" outlineLevel="0" collapsed="false">
      <c r="B16" s="3" t="s">
        <v>123</v>
      </c>
      <c r="D16" s="3" t="n">
        <f aca="false">SUM(D7:D14)</f>
        <v>100</v>
      </c>
    </row>
  </sheetData>
  <mergeCells count="2">
    <mergeCell ref="A1:G1"/>
    <mergeCell ref="A3: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9" min="2" style="0" width="15"/>
  </cols>
  <sheetData>
    <row r="1" customFormat="false" ht="25.5" hidden="false" customHeight="true" outlineLevel="0" collapsed="false">
      <c r="A1" s="1" t="s">
        <v>124</v>
      </c>
      <c r="B1" s="1"/>
      <c r="C1" s="1"/>
      <c r="D1" s="1"/>
      <c r="E1" s="1"/>
      <c r="F1" s="1"/>
      <c r="G1" s="1"/>
      <c r="H1" s="1"/>
      <c r="I1" s="1"/>
      <c r="J1" s="1"/>
    </row>
    <row r="3" customFormat="false" ht="15" hidden="false" customHeight="true" outlineLevel="0" collapsed="false">
      <c r="A3" s="14" t="s">
        <v>125</v>
      </c>
      <c r="B3" s="14"/>
      <c r="C3" s="14"/>
      <c r="D3" s="14"/>
      <c r="E3" s="14"/>
      <c r="F3" s="14"/>
      <c r="G3" s="14"/>
      <c r="H3" s="14"/>
      <c r="I3" s="14"/>
      <c r="J3" s="14"/>
    </row>
    <row r="4" customFormat="false" ht="15" hidden="false" customHeight="false" outlineLevel="0" collapsed="false">
      <c r="A4" s="14"/>
      <c r="B4" s="14"/>
      <c r="C4" s="14"/>
      <c r="D4" s="14"/>
      <c r="E4" s="14"/>
      <c r="F4" s="14"/>
      <c r="G4" s="14"/>
      <c r="H4" s="14"/>
      <c r="I4" s="14"/>
      <c r="J4" s="14"/>
    </row>
    <row r="5" customFormat="false" ht="15" hidden="false" customHeight="false" outlineLevel="0" collapsed="false">
      <c r="A5" s="14"/>
      <c r="B5" s="14"/>
      <c r="C5" s="14"/>
      <c r="D5" s="14"/>
      <c r="E5" s="14"/>
      <c r="F5" s="14"/>
      <c r="G5" s="14"/>
      <c r="H5" s="14"/>
      <c r="I5" s="14"/>
      <c r="J5" s="14"/>
    </row>
    <row r="7" customFormat="false" ht="15" hidden="false" customHeight="false" outlineLevel="0" collapsed="false">
      <c r="A7" s="3" t="s">
        <v>126</v>
      </c>
    </row>
    <row r="8" customFormat="false" ht="33.75" hidden="false" customHeight="true" outlineLevel="0" collapsed="false">
      <c r="B8" s="7" t="s">
        <v>108</v>
      </c>
      <c r="C8" s="7" t="s">
        <v>111</v>
      </c>
      <c r="D8" s="7" t="s">
        <v>113</v>
      </c>
      <c r="E8" s="7" t="s">
        <v>115</v>
      </c>
      <c r="F8" s="7" t="s">
        <v>117</v>
      </c>
      <c r="G8" s="7" t="s">
        <v>119</v>
      </c>
      <c r="H8" s="7" t="s">
        <v>78</v>
      </c>
      <c r="I8" s="7" t="s">
        <v>121</v>
      </c>
    </row>
    <row r="9" customFormat="false" ht="15" hidden="false" customHeight="false" outlineLevel="0" collapsed="false">
      <c r="A9" s="23" t="s">
        <v>127</v>
      </c>
      <c r="B9" s="17" t="n">
        <v>0.2</v>
      </c>
      <c r="C9" s="17" t="n">
        <v>-0.1</v>
      </c>
      <c r="D9" s="17" t="n">
        <v>0.5</v>
      </c>
      <c r="E9" s="17" t="n">
        <v>-0.5</v>
      </c>
      <c r="F9" s="17" t="n">
        <v>-0.7</v>
      </c>
      <c r="G9" s="17" t="n">
        <v>-0.9</v>
      </c>
      <c r="H9" s="17" t="n">
        <v>-0.3</v>
      </c>
      <c r="I9" s="17" t="n">
        <v>0.6</v>
      </c>
    </row>
    <row r="10" customFormat="false" ht="15" hidden="false" customHeight="false" outlineLevel="0" collapsed="false">
      <c r="A10" s="23" t="s">
        <v>128</v>
      </c>
      <c r="B10" s="17" t="n">
        <v>0</v>
      </c>
      <c r="C10" s="17" t="n">
        <v>0</v>
      </c>
      <c r="D10" s="17" t="n">
        <v>0</v>
      </c>
      <c r="E10" s="17" t="n">
        <v>0.3</v>
      </c>
      <c r="F10" s="17" t="n">
        <v>-0.2</v>
      </c>
      <c r="G10" s="17" t="n">
        <v>-0.6</v>
      </c>
      <c r="H10" s="17" t="n">
        <v>0.1</v>
      </c>
      <c r="I10" s="17" t="n">
        <v>0.8</v>
      </c>
    </row>
    <row r="11" customFormat="false" ht="15" hidden="false" customHeight="false" outlineLevel="0" collapsed="false">
      <c r="A11" s="23" t="s">
        <v>129</v>
      </c>
      <c r="B11" s="17" t="n">
        <v>-0.3</v>
      </c>
      <c r="C11" s="17" t="n">
        <v>-0.2</v>
      </c>
      <c r="D11" s="17" t="n">
        <v>0</v>
      </c>
      <c r="E11" s="17" t="n">
        <v>0.2</v>
      </c>
      <c r="F11" s="17" t="n">
        <v>0</v>
      </c>
      <c r="G11" s="17" t="n">
        <v>0</v>
      </c>
      <c r="H11" s="17" t="n">
        <v>0.7</v>
      </c>
      <c r="I11" s="17" t="n">
        <v>0.2</v>
      </c>
    </row>
    <row r="12" customFormat="false" ht="15" hidden="false" customHeight="false" outlineLevel="0" collapsed="false">
      <c r="A12" s="23" t="s">
        <v>130</v>
      </c>
      <c r="B12" s="17" t="n">
        <v>-0.45</v>
      </c>
      <c r="C12" s="17" t="n">
        <v>-0.4</v>
      </c>
      <c r="D12" s="17" t="n">
        <v>-0.35</v>
      </c>
      <c r="E12" s="17" t="n">
        <v>-0.5</v>
      </c>
      <c r="F12" s="17" t="n">
        <v>-0.4</v>
      </c>
      <c r="G12" s="17" t="n">
        <v>-0.3</v>
      </c>
      <c r="H12" s="17" t="n">
        <v>-0.55</v>
      </c>
      <c r="I12" s="17" t="n">
        <v>-0.5</v>
      </c>
    </row>
    <row r="15" customFormat="false" ht="15" hidden="false" customHeight="false" outlineLevel="0" collapsed="false">
      <c r="A15" s="3" t="s">
        <v>131</v>
      </c>
    </row>
    <row r="16" customFormat="false" ht="33.75" hidden="false" customHeight="true" outlineLevel="0" collapsed="false">
      <c r="B16" s="7" t="s">
        <v>108</v>
      </c>
      <c r="C16" s="7" t="s">
        <v>111</v>
      </c>
      <c r="D16" s="7" t="s">
        <v>113</v>
      </c>
      <c r="E16" s="7" t="s">
        <v>115</v>
      </c>
      <c r="F16" s="7" t="s">
        <v>117</v>
      </c>
      <c r="G16" s="7" t="s">
        <v>119</v>
      </c>
      <c r="H16" s="7" t="s">
        <v>78</v>
      </c>
      <c r="I16" s="7" t="s">
        <v>121</v>
      </c>
    </row>
    <row r="17" customFormat="false" ht="15" hidden="false" customHeight="false" outlineLevel="0" collapsed="false">
      <c r="A17" s="23" t="s">
        <v>127</v>
      </c>
      <c r="B17" s="22" t="n">
        <v>2</v>
      </c>
      <c r="C17" s="22" t="n">
        <v>3</v>
      </c>
      <c r="D17" s="22" t="n">
        <v>2</v>
      </c>
      <c r="E17" s="22" t="n">
        <v>1</v>
      </c>
      <c r="F17" s="22" t="n">
        <v>1</v>
      </c>
      <c r="G17" s="22" t="n">
        <v>1</v>
      </c>
      <c r="H17" s="22" t="n">
        <v>2</v>
      </c>
      <c r="I17" s="22" t="n">
        <v>2</v>
      </c>
    </row>
    <row r="18" customFormat="false" ht="15" hidden="false" customHeight="false" outlineLevel="0" collapsed="false">
      <c r="A18" s="23" t="s">
        <v>128</v>
      </c>
      <c r="B18" s="22" t="n">
        <v>1</v>
      </c>
      <c r="C18" s="22" t="n">
        <v>1</v>
      </c>
      <c r="D18" s="22" t="n">
        <v>1</v>
      </c>
      <c r="E18" s="22" t="n">
        <v>1</v>
      </c>
      <c r="F18" s="22" t="n">
        <v>1</v>
      </c>
      <c r="G18" s="22" t="n">
        <v>1</v>
      </c>
      <c r="H18" s="22" t="n">
        <v>2</v>
      </c>
      <c r="I18" s="22" t="n">
        <v>1</v>
      </c>
    </row>
    <row r="19" customFormat="false" ht="15" hidden="false" customHeight="false" outlineLevel="0" collapsed="false">
      <c r="A19" s="23" t="s">
        <v>129</v>
      </c>
      <c r="B19" s="22" t="n">
        <v>2</v>
      </c>
      <c r="C19" s="22" t="n">
        <v>3</v>
      </c>
      <c r="D19" s="22" t="n">
        <v>1</v>
      </c>
      <c r="E19" s="22" t="n">
        <v>2</v>
      </c>
      <c r="F19" s="22" t="n">
        <v>1</v>
      </c>
      <c r="G19" s="22" t="n">
        <v>1</v>
      </c>
      <c r="H19" s="22" t="n">
        <v>2</v>
      </c>
      <c r="I19" s="22" t="n">
        <v>3</v>
      </c>
    </row>
    <row r="20" customFormat="false" ht="15" hidden="false" customHeight="false" outlineLevel="0" collapsed="false">
      <c r="A20" s="23" t="s">
        <v>130</v>
      </c>
      <c r="B20" s="22" t="n">
        <v>3</v>
      </c>
      <c r="C20" s="22" t="n">
        <v>3</v>
      </c>
      <c r="D20" s="22" t="n">
        <v>3</v>
      </c>
      <c r="E20" s="22" t="n">
        <v>4</v>
      </c>
      <c r="F20" s="22" t="n">
        <v>3</v>
      </c>
      <c r="G20" s="22" t="n">
        <v>3</v>
      </c>
      <c r="H20" s="22" t="n">
        <v>4</v>
      </c>
      <c r="I20" s="22" t="n">
        <v>4</v>
      </c>
    </row>
  </sheetData>
  <mergeCells count="2">
    <mergeCell ref="A1:J1"/>
    <mergeCell ref="A3:J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
    <col collapsed="false" customWidth="true" hidden="false" outlineLevel="0" max="3" min="3" style="0" width="12"/>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9"/>
    <col collapsed="false" customWidth="true" hidden="false" outlineLevel="0" max="8" min="8" style="0" width="13"/>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12"/>
  </cols>
  <sheetData>
    <row r="1" customFormat="false" ht="25.5" hidden="false" customHeight="true" outlineLevel="0" collapsed="false">
      <c r="A1" s="1" t="s">
        <v>132</v>
      </c>
      <c r="B1" s="1"/>
      <c r="C1" s="1"/>
      <c r="D1" s="1"/>
      <c r="E1" s="1"/>
      <c r="F1" s="1"/>
      <c r="G1" s="1"/>
      <c r="H1" s="1"/>
      <c r="I1" s="1"/>
      <c r="J1" s="1"/>
      <c r="K1" s="1"/>
      <c r="L1" s="1"/>
    </row>
    <row r="3" customFormat="false" ht="15" hidden="false" customHeight="true" outlineLevel="0" collapsed="false">
      <c r="A3" s="14" t="s">
        <v>133</v>
      </c>
      <c r="B3" s="14"/>
      <c r="C3" s="14"/>
      <c r="D3" s="14"/>
      <c r="E3" s="14"/>
      <c r="F3" s="14"/>
      <c r="G3" s="14"/>
      <c r="H3" s="14"/>
      <c r="I3" s="14"/>
      <c r="J3" s="14"/>
      <c r="K3" s="14"/>
      <c r="L3" s="14"/>
    </row>
    <row r="4" customFormat="false" ht="15" hidden="false" customHeight="false" outlineLevel="0" collapsed="false">
      <c r="A4" s="14"/>
      <c r="B4" s="14"/>
      <c r="C4" s="14"/>
      <c r="D4" s="14"/>
      <c r="E4" s="14"/>
      <c r="F4" s="14"/>
      <c r="G4" s="14"/>
      <c r="H4" s="14"/>
      <c r="I4" s="14"/>
      <c r="J4" s="14"/>
      <c r="K4" s="14"/>
      <c r="L4" s="14"/>
    </row>
    <row r="6" customFormat="false" ht="33.75" hidden="false" customHeight="true" outlineLevel="0" collapsed="false">
      <c r="A6" s="7" t="s">
        <v>134</v>
      </c>
      <c r="B6" s="7" t="s">
        <v>135</v>
      </c>
      <c r="C6" s="7" t="s">
        <v>136</v>
      </c>
      <c r="D6" s="7" t="s">
        <v>137</v>
      </c>
      <c r="E6" s="7" t="s">
        <v>138</v>
      </c>
      <c r="F6" s="7" t="s">
        <v>139</v>
      </c>
      <c r="G6" s="7" t="s">
        <v>140</v>
      </c>
      <c r="H6" s="7" t="s">
        <v>141</v>
      </c>
      <c r="I6" s="7" t="s">
        <v>142</v>
      </c>
      <c r="J6" s="7" t="s">
        <v>143</v>
      </c>
      <c r="K6" s="7" t="s">
        <v>144</v>
      </c>
      <c r="L6" s="7" t="s">
        <v>145</v>
      </c>
    </row>
    <row r="7" customFormat="false" ht="15" hidden="false" customHeight="false" outlineLevel="0" collapsed="false">
      <c r="A7" s="21" t="s">
        <v>79</v>
      </c>
      <c r="B7" s="22" t="s">
        <v>146</v>
      </c>
      <c r="C7" s="22"/>
      <c r="D7" s="17" t="n">
        <v>0</v>
      </c>
      <c r="E7" s="22" t="n">
        <v>0</v>
      </c>
      <c r="F7" s="22" t="n">
        <v>0</v>
      </c>
      <c r="G7" s="22" t="n">
        <v>0</v>
      </c>
      <c r="H7" s="22"/>
      <c r="I7" s="17" t="n">
        <v>0</v>
      </c>
      <c r="J7" s="22" t="n">
        <v>0</v>
      </c>
      <c r="K7" s="22" t="s">
        <v>147</v>
      </c>
      <c r="L7" s="22" t="n">
        <v>0</v>
      </c>
    </row>
    <row r="8" customFormat="false" ht="15" hidden="false" customHeight="false" outlineLevel="0" collapsed="false">
      <c r="A8" s="21" t="s">
        <v>77</v>
      </c>
      <c r="B8" s="22" t="s">
        <v>148</v>
      </c>
      <c r="C8" s="22"/>
      <c r="D8" s="17" t="n">
        <v>0.7</v>
      </c>
      <c r="E8" s="22" t="n">
        <v>1</v>
      </c>
      <c r="F8" s="22" t="n">
        <v>2</v>
      </c>
      <c r="G8" s="22" t="n">
        <v>6</v>
      </c>
      <c r="H8" s="22"/>
      <c r="I8" s="17" t="n">
        <v>0</v>
      </c>
      <c r="J8" s="22" t="n">
        <v>0</v>
      </c>
      <c r="K8" s="22" t="s">
        <v>147</v>
      </c>
      <c r="L8" s="22" t="n">
        <v>0</v>
      </c>
    </row>
    <row r="9" customFormat="false" ht="15" hidden="false" customHeight="false" outlineLevel="0" collapsed="false">
      <c r="A9" s="21" t="s">
        <v>149</v>
      </c>
      <c r="B9" s="22" t="s">
        <v>148</v>
      </c>
      <c r="C9" s="22"/>
      <c r="D9" s="17" t="n">
        <v>-0.9</v>
      </c>
      <c r="E9" s="22" t="n">
        <v>2</v>
      </c>
      <c r="F9" s="22" t="n">
        <v>4</v>
      </c>
      <c r="G9" s="22" t="n">
        <v>14</v>
      </c>
      <c r="H9" s="22"/>
      <c r="I9" s="17" t="n">
        <v>0</v>
      </c>
      <c r="J9" s="22" t="n">
        <v>0</v>
      </c>
      <c r="K9" s="22" t="s">
        <v>147</v>
      </c>
      <c r="L9" s="22" t="n">
        <v>0</v>
      </c>
    </row>
    <row r="10" customFormat="false" ht="15" hidden="false" customHeight="false" outlineLevel="0" collapsed="false">
      <c r="A10" s="21" t="s">
        <v>32</v>
      </c>
      <c r="B10" s="22" t="s">
        <v>148</v>
      </c>
      <c r="C10" s="22"/>
      <c r="D10" s="17" t="n">
        <v>-1.2</v>
      </c>
      <c r="E10" s="22" t="n">
        <v>1</v>
      </c>
      <c r="F10" s="22" t="n">
        <v>2</v>
      </c>
      <c r="G10" s="22" t="n">
        <v>9</v>
      </c>
      <c r="H10" s="22"/>
      <c r="I10" s="17" t="n">
        <v>0</v>
      </c>
      <c r="J10" s="22" t="n">
        <v>0</v>
      </c>
      <c r="K10" s="22" t="s">
        <v>150</v>
      </c>
      <c r="L10" s="22" t="n">
        <v>0</v>
      </c>
    </row>
    <row r="11" customFormat="false" ht="15" hidden="false" customHeight="false" outlineLevel="0" collapsed="false">
      <c r="A11" s="21" t="s">
        <v>151</v>
      </c>
      <c r="B11" s="22" t="s">
        <v>148</v>
      </c>
      <c r="C11" s="22"/>
      <c r="D11" s="17" t="n">
        <v>0</v>
      </c>
      <c r="E11" s="22" t="n">
        <v>0</v>
      </c>
      <c r="F11" s="22" t="n">
        <v>0</v>
      </c>
      <c r="G11" s="22" t="n">
        <v>18</v>
      </c>
      <c r="H11" s="22"/>
      <c r="I11" s="17" t="n">
        <v>0</v>
      </c>
      <c r="J11" s="22" t="n">
        <v>0</v>
      </c>
      <c r="K11" s="22" t="s">
        <v>147</v>
      </c>
      <c r="L11" s="22" t="n">
        <v>12</v>
      </c>
    </row>
    <row r="12" customFormat="false" ht="15" hidden="false" customHeight="false" outlineLevel="0" collapsed="false">
      <c r="A12" s="21" t="s">
        <v>152</v>
      </c>
      <c r="B12" s="22" t="s">
        <v>153</v>
      </c>
      <c r="C12" s="22" t="s">
        <v>129</v>
      </c>
      <c r="D12" s="17" t="n">
        <v>1.1</v>
      </c>
      <c r="E12" s="22" t="n">
        <v>4</v>
      </c>
      <c r="F12" s="22" t="n">
        <v>7</v>
      </c>
      <c r="G12" s="22" t="n">
        <v>26</v>
      </c>
      <c r="H12" s="22" t="s">
        <v>128</v>
      </c>
      <c r="I12" s="17" t="n">
        <v>-0.4</v>
      </c>
      <c r="J12" s="22" t="n">
        <v>4</v>
      </c>
      <c r="K12" s="22" t="s">
        <v>147</v>
      </c>
      <c r="L12" s="22" t="n">
        <v>0</v>
      </c>
    </row>
    <row r="13" customFormat="false" ht="15" hidden="false" customHeight="false" outlineLevel="0" collapsed="false">
      <c r="A13" s="21" t="s">
        <v>154</v>
      </c>
      <c r="B13" s="22" t="s">
        <v>153</v>
      </c>
      <c r="C13" s="22" t="s">
        <v>130</v>
      </c>
      <c r="D13" s="17" t="n">
        <v>1.3</v>
      </c>
      <c r="E13" s="22" t="n">
        <v>3</v>
      </c>
      <c r="F13" s="22" t="n">
        <v>9</v>
      </c>
      <c r="G13" s="22" t="n">
        <v>32</v>
      </c>
      <c r="H13" s="22" t="s">
        <v>129</v>
      </c>
      <c r="I13" s="17" t="n">
        <v>-0.5</v>
      </c>
      <c r="J13" s="22" t="n">
        <v>4</v>
      </c>
      <c r="K13" s="22" t="s">
        <v>147</v>
      </c>
      <c r="L13" s="22" t="n">
        <v>0</v>
      </c>
    </row>
    <row r="14" customFormat="false" ht="15" hidden="false" customHeight="false" outlineLevel="0" collapsed="false">
      <c r="A14" s="21" t="s">
        <v>155</v>
      </c>
      <c r="B14" s="22" t="s">
        <v>153</v>
      </c>
      <c r="C14" s="22" t="s">
        <v>127</v>
      </c>
      <c r="D14" s="17" t="n">
        <v>1.6</v>
      </c>
      <c r="E14" s="22" t="n">
        <v>6</v>
      </c>
      <c r="F14" s="22" t="n">
        <v>12</v>
      </c>
      <c r="G14" s="22" t="n">
        <v>45</v>
      </c>
      <c r="H14" s="22" t="s">
        <v>129</v>
      </c>
      <c r="I14" s="17" t="n">
        <v>-0.6</v>
      </c>
      <c r="J14" s="22" t="n">
        <v>5</v>
      </c>
      <c r="K14" s="22" t="s">
        <v>147</v>
      </c>
      <c r="L14" s="22" t="n">
        <v>0</v>
      </c>
    </row>
    <row r="15" customFormat="false" ht="15" hidden="false" customHeight="false" outlineLevel="0" collapsed="false">
      <c r="A15" s="21" t="s">
        <v>156</v>
      </c>
      <c r="B15" s="22" t="s">
        <v>148</v>
      </c>
      <c r="C15" s="22"/>
      <c r="D15" s="17" t="n">
        <v>-2.5</v>
      </c>
      <c r="E15" s="22" t="n">
        <v>1</v>
      </c>
      <c r="F15" s="22" t="n">
        <v>30</v>
      </c>
      <c r="G15" s="22" t="n">
        <v>60</v>
      </c>
      <c r="H15" s="22"/>
      <c r="I15" s="17" t="n">
        <v>0</v>
      </c>
      <c r="J15" s="22" t="n">
        <v>0</v>
      </c>
      <c r="K15" s="22" t="s">
        <v>147</v>
      </c>
      <c r="L15" s="22" t="n">
        <v>0</v>
      </c>
    </row>
  </sheetData>
  <mergeCells count="2">
    <mergeCell ref="A1:L1"/>
    <mergeCell ref="A3: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62"/>
  </cols>
  <sheetData>
    <row r="1" customFormat="false" ht="25.5" hidden="false" customHeight="true" outlineLevel="0" collapsed="false">
      <c r="A1" s="1" t="s">
        <v>157</v>
      </c>
      <c r="B1" s="1"/>
      <c r="C1" s="1"/>
      <c r="D1" s="1"/>
    </row>
    <row r="3" customFormat="false" ht="15" hidden="false" customHeight="true" outlineLevel="0" collapsed="false">
      <c r="A3" s="14" t="s">
        <v>158</v>
      </c>
      <c r="B3" s="14"/>
      <c r="C3" s="14"/>
      <c r="D3" s="14"/>
    </row>
    <row r="4" customFormat="false" ht="15" hidden="false" customHeight="false" outlineLevel="0" collapsed="false">
      <c r="A4" s="14"/>
      <c r="B4" s="14"/>
      <c r="C4" s="14"/>
      <c r="D4" s="14"/>
    </row>
    <row r="6" customFormat="false" ht="15" hidden="false" customHeight="false" outlineLevel="0" collapsed="false">
      <c r="A6" s="23" t="s">
        <v>159</v>
      </c>
      <c r="B6" s="23" t="s">
        <v>160</v>
      </c>
      <c r="C6" s="23" t="s">
        <v>161</v>
      </c>
    </row>
    <row r="7" customFormat="false" ht="15" hidden="false" customHeight="false" outlineLevel="0" collapsed="false">
      <c r="A7" s="15" t="s">
        <v>162</v>
      </c>
      <c r="B7" s="24" t="n">
        <v>14</v>
      </c>
      <c r="C7" s="25" t="s">
        <v>163</v>
      </c>
    </row>
    <row r="8" customFormat="false" ht="15" hidden="false" customHeight="false" outlineLevel="0" collapsed="false">
      <c r="A8" s="15" t="s">
        <v>164</v>
      </c>
      <c r="B8" s="24" t="n">
        <v>8</v>
      </c>
      <c r="C8" s="25" t="s">
        <v>165</v>
      </c>
    </row>
    <row r="9" customFormat="false" ht="15" hidden="false" customHeight="false" outlineLevel="0" collapsed="false">
      <c r="A9" s="15" t="s">
        <v>166</v>
      </c>
      <c r="B9" s="24" t="n">
        <v>1.2</v>
      </c>
      <c r="C9" s="25" t="s">
        <v>167</v>
      </c>
    </row>
    <row r="10" customFormat="false" ht="15" hidden="false" customHeight="false" outlineLevel="0" collapsed="false">
      <c r="A10" s="15" t="s">
        <v>168</v>
      </c>
      <c r="B10" s="24" t="n">
        <v>1.8</v>
      </c>
      <c r="C10" s="25" t="s">
        <v>169</v>
      </c>
    </row>
    <row r="11" customFormat="false" ht="15" hidden="false" customHeight="false" outlineLevel="0" collapsed="false">
      <c r="A11" s="15" t="s">
        <v>170</v>
      </c>
      <c r="B11" s="24" t="n">
        <v>0.85</v>
      </c>
      <c r="C11" s="25" t="s">
        <v>171</v>
      </c>
    </row>
    <row r="12" customFormat="false" ht="15" hidden="false" customHeight="false" outlineLevel="0" collapsed="false">
      <c r="A12" s="15" t="s">
        <v>172</v>
      </c>
      <c r="B12" s="24" t="n">
        <v>28</v>
      </c>
      <c r="C12" s="25" t="s">
        <v>173</v>
      </c>
    </row>
    <row r="13" customFormat="false" ht="15" hidden="false" customHeight="false" outlineLevel="0" collapsed="false">
      <c r="A13" s="15" t="s">
        <v>174</v>
      </c>
      <c r="B13" s="24" t="n">
        <v>42</v>
      </c>
      <c r="C13" s="25" t="s">
        <v>175</v>
      </c>
    </row>
    <row r="14" customFormat="false" ht="15" hidden="false" customHeight="false" outlineLevel="0" collapsed="false">
      <c r="A14" s="15" t="s">
        <v>176</v>
      </c>
      <c r="B14" s="24" t="n">
        <v>100</v>
      </c>
      <c r="C14" s="25"/>
    </row>
    <row r="15" customFormat="false" ht="15" hidden="false" customHeight="false" outlineLevel="0" collapsed="false">
      <c r="A15" s="15" t="s">
        <v>177</v>
      </c>
      <c r="B15" s="24" t="n">
        <v>0.12</v>
      </c>
      <c r="C15" s="25" t="s">
        <v>178</v>
      </c>
    </row>
    <row r="16" customFormat="false" ht="15" hidden="false" customHeight="false" outlineLevel="0" collapsed="false">
      <c r="A16" s="15" t="s">
        <v>179</v>
      </c>
      <c r="B16" s="24" t="n">
        <v>0.9</v>
      </c>
      <c r="C16" s="25" t="s">
        <v>180</v>
      </c>
    </row>
    <row r="17" customFormat="false" ht="15" hidden="false" customHeight="false" outlineLevel="0" collapsed="false">
      <c r="A17" s="15" t="s">
        <v>181</v>
      </c>
      <c r="B17" s="24" t="n">
        <v>0.9</v>
      </c>
      <c r="C17" s="25" t="s">
        <v>182</v>
      </c>
    </row>
    <row r="18" customFormat="false" ht="15" hidden="false" customHeight="false" outlineLevel="0" collapsed="false">
      <c r="A18" s="15" t="s">
        <v>183</v>
      </c>
      <c r="B18" s="24" t="n">
        <v>0.04</v>
      </c>
      <c r="C18" s="25" t="s">
        <v>184</v>
      </c>
    </row>
    <row r="19" customFormat="false" ht="15" hidden="false" customHeight="false" outlineLevel="0" collapsed="false">
      <c r="A19" s="15" t="s">
        <v>185</v>
      </c>
      <c r="B19" s="24" t="n">
        <v>0.006</v>
      </c>
      <c r="C19" s="25" t="s">
        <v>186</v>
      </c>
    </row>
    <row r="20" customFormat="false" ht="15" hidden="false" customHeight="false" outlineLevel="0" collapsed="false">
      <c r="A20" s="15" t="s">
        <v>187</v>
      </c>
      <c r="B20" s="24" t="n">
        <v>-0.5</v>
      </c>
      <c r="C20" s="25" t="s">
        <v>188</v>
      </c>
    </row>
    <row r="21" customFormat="false" ht="15" hidden="false" customHeight="false" outlineLevel="0" collapsed="false">
      <c r="A21" s="15" t="s">
        <v>189</v>
      </c>
      <c r="B21" s="24" t="n">
        <v>0.25</v>
      </c>
      <c r="C21" s="25" t="s">
        <v>190</v>
      </c>
    </row>
    <row r="22" customFormat="false" ht="15" hidden="false" customHeight="false" outlineLevel="0" collapsed="false">
      <c r="A22" s="15" t="s">
        <v>191</v>
      </c>
      <c r="B22" s="24" t="n">
        <v>0.8</v>
      </c>
      <c r="C22" s="25" t="s">
        <v>192</v>
      </c>
    </row>
    <row r="23" customFormat="false" ht="15" hidden="false" customHeight="false" outlineLevel="0" collapsed="false">
      <c r="A23" s="15" t="s">
        <v>193</v>
      </c>
      <c r="B23" s="24" t="n">
        <v>32</v>
      </c>
      <c r="C23" s="25" t="s">
        <v>194</v>
      </c>
    </row>
    <row r="24" customFormat="false" ht="15" hidden="false" customHeight="false" outlineLevel="0" collapsed="false">
      <c r="A24" s="15" t="s">
        <v>195</v>
      </c>
      <c r="B24" s="24" t="n">
        <v>0.75</v>
      </c>
      <c r="C24" s="25" t="s">
        <v>196</v>
      </c>
    </row>
    <row r="25" customFormat="false" ht="15" hidden="false" customHeight="false" outlineLevel="0" collapsed="false">
      <c r="A25" s="15" t="s">
        <v>197</v>
      </c>
      <c r="B25" s="24" t="n">
        <v>90</v>
      </c>
      <c r="C25" s="25" t="s">
        <v>198</v>
      </c>
    </row>
    <row r="26" customFormat="false" ht="15" hidden="false" customHeight="false" outlineLevel="0" collapsed="false">
      <c r="A26" s="3" t="s">
        <v>199</v>
      </c>
    </row>
    <row r="27" customFormat="false" ht="15" hidden="false" customHeight="false" outlineLevel="0" collapsed="false">
      <c r="A27" s="23" t="s">
        <v>200</v>
      </c>
      <c r="B27" s="23" t="s">
        <v>201</v>
      </c>
    </row>
    <row r="28" customFormat="false" ht="15" hidden="false" customHeight="false" outlineLevel="0" collapsed="false">
      <c r="A28" s="26" t="n">
        <v>0</v>
      </c>
      <c r="B28" s="15" t="s">
        <v>202</v>
      </c>
    </row>
    <row r="29" customFormat="false" ht="15" hidden="false" customHeight="false" outlineLevel="0" collapsed="false">
      <c r="A29" s="26" t="n">
        <v>25</v>
      </c>
      <c r="B29" s="15" t="s">
        <v>203</v>
      </c>
    </row>
    <row r="30" customFormat="false" ht="15" hidden="false" customHeight="false" outlineLevel="0" collapsed="false">
      <c r="A30" s="26" t="n">
        <v>50</v>
      </c>
      <c r="B30" s="15" t="s">
        <v>204</v>
      </c>
    </row>
    <row r="31" customFormat="false" ht="15" hidden="false" customHeight="false" outlineLevel="0" collapsed="false">
      <c r="A31" s="26" t="n">
        <v>80</v>
      </c>
      <c r="B31" s="15" t="s">
        <v>205</v>
      </c>
    </row>
    <row r="32" customFormat="false" ht="15" hidden="false" customHeight="false" outlineLevel="0" collapsed="false">
      <c r="A32" s="26" t="n">
        <v>115</v>
      </c>
      <c r="B32" s="15" t="s">
        <v>206</v>
      </c>
    </row>
    <row r="33" customFormat="false" ht="15" hidden="false" customHeight="false" outlineLevel="0" collapsed="false">
      <c r="A33" s="26" t="n">
        <v>155</v>
      </c>
      <c r="B33" s="15" t="s">
        <v>207</v>
      </c>
    </row>
    <row r="34" customFormat="false" ht="15" hidden="false" customHeight="false" outlineLevel="0" collapsed="false">
      <c r="A34" s="26" t="n">
        <v>200</v>
      </c>
      <c r="B34" s="15" t="s">
        <v>208</v>
      </c>
    </row>
  </sheetData>
  <mergeCells count="2">
    <mergeCell ref="A1:D1"/>
    <mergeCell ref="A3: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0"/>
    <col collapsed="false" customWidth="true" hidden="false" outlineLevel="0" max="4" min="4" style="0" width="16"/>
    <col collapsed="false" customWidth="true" hidden="false" outlineLevel="0" max="5" min="5" style="0" width="9"/>
    <col collapsed="false" customWidth="true" hidden="false" outlineLevel="0" max="6" min="6" style="0" width="8"/>
    <col collapsed="false" customWidth="true" hidden="false" outlineLevel="0" max="8" min="7" style="0" width="9"/>
    <col collapsed="false" customWidth="true" hidden="false" outlineLevel="0" max="9" min="9" style="0" width="12"/>
    <col collapsed="false" customWidth="true" hidden="false" outlineLevel="0" max="11" min="10" style="0" width="10"/>
    <col collapsed="false" customWidth="true" hidden="false" outlineLevel="0" max="12" min="12" style="0" width="9"/>
    <col collapsed="false" customWidth="true" hidden="false" outlineLevel="0" max="13" min="13" style="0" width="10"/>
    <col collapsed="false" customWidth="true" hidden="false" outlineLevel="0" max="14" min="14" style="0" width="16"/>
    <col collapsed="false" customWidth="true" hidden="false" outlineLevel="0" max="15" min="15" style="0" width="9"/>
    <col collapsed="false" customWidth="true" hidden="false" outlineLevel="0" max="16" min="16" style="0" width="8"/>
    <col collapsed="false" customWidth="true" hidden="false" outlineLevel="0" max="18" min="17" style="0" width="9"/>
    <col collapsed="false" customWidth="true" hidden="false" outlineLevel="0" max="19" min="19" style="0" width="12"/>
    <col collapsed="false" customWidth="true" hidden="false" outlineLevel="0" max="21" min="20" style="0" width="10"/>
    <col collapsed="false" customWidth="true" hidden="false" outlineLevel="0" max="22" min="22" style="0" width="9"/>
    <col collapsed="false" customWidth="true" hidden="false" outlineLevel="0" max="34" min="23" style="0" width="11"/>
    <col collapsed="false" customWidth="true" hidden="false" outlineLevel="0" max="50" min="35" style="0" width="10"/>
    <col collapsed="false" customWidth="true" hidden="false" outlineLevel="0" max="58" min="51" style="0" width="11"/>
    <col collapsed="false" customWidth="true" hidden="false" outlineLevel="0" max="59" min="59" style="0" width="12"/>
    <col collapsed="false" customWidth="true" hidden="false" outlineLevel="0" max="60" min="60" style="0" width="11"/>
    <col collapsed="false" customWidth="true" hidden="false" outlineLevel="0" max="62" min="61" style="0" width="12"/>
    <col collapsed="false" customWidth="true" hidden="false" outlineLevel="0" max="65" min="63" style="0" width="11"/>
    <col collapsed="false" customWidth="true" hidden="false" outlineLevel="0" max="68" min="66" style="0" width="12"/>
    <col collapsed="false" customWidth="true" hidden="false" outlineLevel="0" max="69" min="69" style="0" width="11"/>
  </cols>
  <sheetData>
    <row r="1" customFormat="false" ht="25.5" hidden="false" customHeight="true" outlineLevel="0" collapsed="false">
      <c r="A1" s="1" t="s">
        <v>209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3" customFormat="false" ht="15" hidden="false" customHeight="false" outlineLevel="0" collapsed="false">
      <c r="A3" s="27" t="s">
        <v>210</v>
      </c>
    </row>
    <row r="7" customFormat="false" ht="37.5" hidden="false" customHeight="true" outlineLevel="0" collapsed="false">
      <c r="A7" s="7" t="s">
        <v>59</v>
      </c>
      <c r="B7" s="7" t="s">
        <v>60</v>
      </c>
      <c r="C7" s="7" t="s">
        <v>211</v>
      </c>
      <c r="D7" s="7" t="s">
        <v>212</v>
      </c>
      <c r="E7" s="7" t="s">
        <v>213</v>
      </c>
      <c r="F7" s="7" t="s">
        <v>214</v>
      </c>
      <c r="G7" s="7" t="s">
        <v>215</v>
      </c>
      <c r="H7" s="7" t="s">
        <v>216</v>
      </c>
      <c r="I7" s="7" t="s">
        <v>217</v>
      </c>
      <c r="J7" s="7" t="s">
        <v>218</v>
      </c>
      <c r="K7" s="7" t="s">
        <v>219</v>
      </c>
      <c r="L7" s="7" t="s">
        <v>220</v>
      </c>
      <c r="M7" s="7" t="s">
        <v>221</v>
      </c>
      <c r="N7" s="7" t="s">
        <v>222</v>
      </c>
      <c r="O7" s="7" t="s">
        <v>223</v>
      </c>
      <c r="P7" s="7" t="s">
        <v>224</v>
      </c>
      <c r="Q7" s="7" t="s">
        <v>225</v>
      </c>
      <c r="R7" s="7" t="s">
        <v>226</v>
      </c>
      <c r="S7" s="7" t="s">
        <v>227</v>
      </c>
      <c r="T7" s="7" t="s">
        <v>228</v>
      </c>
      <c r="U7" s="7" t="s">
        <v>229</v>
      </c>
      <c r="V7" s="7" t="s">
        <v>230</v>
      </c>
      <c r="W7" s="7" t="s">
        <v>231</v>
      </c>
      <c r="X7" s="7" t="s">
        <v>232</v>
      </c>
      <c r="Y7" s="7" t="s">
        <v>233</v>
      </c>
      <c r="Z7" s="7" t="s">
        <v>234</v>
      </c>
      <c r="AA7" s="7" t="s">
        <v>235</v>
      </c>
      <c r="AB7" s="7" t="s">
        <v>236</v>
      </c>
      <c r="AC7" s="7" t="s">
        <v>237</v>
      </c>
      <c r="AD7" s="7" t="s">
        <v>238</v>
      </c>
      <c r="AE7" s="7" t="s">
        <v>239</v>
      </c>
      <c r="AF7" s="7" t="s">
        <v>240</v>
      </c>
      <c r="AG7" s="7" t="s">
        <v>241</v>
      </c>
      <c r="AH7" s="7" t="s">
        <v>242</v>
      </c>
      <c r="AI7" s="7" t="s">
        <v>243</v>
      </c>
      <c r="AJ7" s="7" t="s">
        <v>244</v>
      </c>
      <c r="AK7" s="7" t="s">
        <v>245</v>
      </c>
      <c r="AL7" s="7" t="s">
        <v>246</v>
      </c>
      <c r="AM7" s="7" t="s">
        <v>247</v>
      </c>
      <c r="AN7" s="7" t="s">
        <v>248</v>
      </c>
      <c r="AO7" s="7" t="s">
        <v>249</v>
      </c>
      <c r="AP7" s="7" t="s">
        <v>250</v>
      </c>
      <c r="AQ7" s="7" t="s">
        <v>251</v>
      </c>
      <c r="AR7" s="7" t="s">
        <v>252</v>
      </c>
      <c r="AS7" s="7" t="s">
        <v>253</v>
      </c>
      <c r="AT7" s="7" t="s">
        <v>254</v>
      </c>
      <c r="AU7" s="7" t="s">
        <v>255</v>
      </c>
      <c r="AV7" s="7" t="s">
        <v>256</v>
      </c>
      <c r="AW7" s="7" t="s">
        <v>257</v>
      </c>
      <c r="AX7" s="7" t="s">
        <v>258</v>
      </c>
      <c r="AY7" s="7" t="s">
        <v>259</v>
      </c>
      <c r="AZ7" s="7" t="s">
        <v>260</v>
      </c>
      <c r="BA7" s="7" t="s">
        <v>261</v>
      </c>
      <c r="BB7" s="7" t="s">
        <v>262</v>
      </c>
      <c r="BC7" s="7" t="s">
        <v>263</v>
      </c>
      <c r="BD7" s="7" t="s">
        <v>264</v>
      </c>
      <c r="BE7" s="7" t="s">
        <v>265</v>
      </c>
      <c r="BF7" s="7" t="s">
        <v>266</v>
      </c>
      <c r="BG7" s="7" t="s">
        <v>267</v>
      </c>
      <c r="BH7" s="7" t="s">
        <v>268</v>
      </c>
      <c r="BI7" s="7" t="s">
        <v>269</v>
      </c>
      <c r="BJ7" s="7" t="s">
        <v>270</v>
      </c>
      <c r="BK7" s="7" t="s">
        <v>67</v>
      </c>
      <c r="BL7" s="7" t="s">
        <v>271</v>
      </c>
      <c r="BM7" s="7" t="s">
        <v>272</v>
      </c>
      <c r="BN7" s="7" t="s">
        <v>273</v>
      </c>
      <c r="BO7" s="7" t="s">
        <v>66</v>
      </c>
      <c r="BP7" s="7" t="s">
        <v>274</v>
      </c>
      <c r="BQ7" s="7" t="s">
        <v>74</v>
      </c>
    </row>
    <row r="8" customFormat="false" ht="15" hidden="false" customHeight="false" outlineLevel="0" collapsed="false">
      <c r="A8" s="13" t="n">
        <v>1</v>
      </c>
      <c r="B8" s="11" t="n">
        <f aca="false">CLIMATE!B8</f>
        <v>1946</v>
      </c>
      <c r="C8" s="13" t="str">
        <f aca="false">IFERROR(INDEX(CAPABILITIES!$B$7:$B$15,MATCH(PLAY!$D8,CAPABILITIES!$A$7:$A$15,0)),"NONE")</f>
        <v>REGION</v>
      </c>
      <c r="D8" s="13" t="str">
        <f aca="false">IFERROR(IF(INDEX(CAPABILITIES!$B$7:$B$15,MATCH(PLAY!$D8,CAPABILITIES!$A$7:$A$15,0))="DRIVER",INDEX(CAPABILITIES!$C$7:$C$15,MATCH(PLAY!$D8,CAPABILITIES!$A$7:$A$15,0)),PLAY!$E8),"")</f>
        <v>Sahel</v>
      </c>
      <c r="E8" s="13" t="n">
        <f aca="false">IFERROR(INDEX(CAPABILITIES!$D$7:$D$15,MATCH(PLAY!$D8,CAPABILITIES!$A$7:$A$15,0))*IF(INDEX(CAPABILITIES!$K$7:$K$15,MATCH(PLAY!$D8,CAPABILITIES!$A$7:$A$15,0))="Y",IF(0&lt;ASSUMPTIONS!$B$20,1,ASSUMPTIONS!$B$21),1),0)</f>
        <v>0.7</v>
      </c>
      <c r="F8" s="13" t="n">
        <f aca="false">IFERROR(INDEX(CAPABILITIES!$E$7:$E$15,MATCH(PLAY!$D8,CAPABILITIES!$A$7:$A$15,0)),0)</f>
        <v>1</v>
      </c>
      <c r="G8" s="13" t="n">
        <f aca="false">IFERROR(INDEX(CAPABILITIES!$F$7:$F$15,MATCH(PLAY!$D8,CAPABILITIES!$A$7:$A$15,0)),0)</f>
        <v>2</v>
      </c>
      <c r="H8" s="13" t="n">
        <f aca="false">IFERROR(INDEX(CAPABILITIES!$G$7:$G$15,MATCH(PLAY!$D8,CAPABILITIES!$A$7:$A$15,0)),0)</f>
        <v>6</v>
      </c>
      <c r="I8" s="13" t="n">
        <f aca="false">IFERROR(INDEX(CAPABILITIES!$H$7:$H$15,MATCH(PLAY!$D8,CAPABILITIES!$A$7:$A$15,0)),"")</f>
        <v>0</v>
      </c>
      <c r="J8" s="13" t="n">
        <f aca="false">IFERROR(INDEX(CAPABILITIES!$D$7:$D$15,MATCH(PLAY!$D8,CAPABILITIES!$A$7:$A$15,0))*INDEX(CAPABILITIES!$I$7:$I$15,MATCH(PLAY!$D8,CAPABILITIES!$A$7:$A$15,0)),0)</f>
        <v>0</v>
      </c>
      <c r="K8" s="13" t="n">
        <f aca="false">IFERROR(INDEX(CAPABILITIES!$E$7:$E$15,MATCH(PLAY!$D8,CAPABILITIES!$A$7:$A$15,0))+INDEX(CAPABILITIES!$J$7:$J$15,MATCH(PLAY!$D8,CAPABILITIES!$A$7:$A$15,0)),0)</f>
        <v>1</v>
      </c>
      <c r="L8" s="13" t="n">
        <f aca="false">IFERROR(INDEX(CAPABILITIES!$L$7:$L$15,MATCH(PLAY!$D8,CAPABILITIES!$A$7:$A$15,0)),0)</f>
        <v>0</v>
      </c>
      <c r="M8" s="13" t="str">
        <f aca="false">IFERROR(INDEX(CAPABILITIES!$B$7:$B$15,MATCH(PLAY!$F8,CAPABILITIES!$A$7:$A$15,0)),"NONE")</f>
        <v>NONE</v>
      </c>
      <c r="N8" s="13" t="n">
        <f aca="false">IFERROR(IF(INDEX(CAPABILITIES!$B$7:$B$15,MATCH(PLAY!$F8,CAPABILITIES!$A$7:$A$15,0))="DRIVER",INDEX(CAPABILITIES!$C$7:$C$15,MATCH(PLAY!$F8,CAPABILITIES!$A$7:$A$15,0)),PLAY!$G8),"")</f>
        <v>0</v>
      </c>
      <c r="O8" s="13" t="n">
        <f aca="false">IFERROR(INDEX(CAPABILITIES!$D$7:$D$15,MATCH(PLAY!$F8,CAPABILITIES!$A$7:$A$15,0))*IF(INDEX(CAPABILITIES!$K$7:$K$15,MATCH(PLAY!$F8,CAPABILITIES!$A$7:$A$15,0))="Y",IF(0&lt;ASSUMPTIONS!$B$20,1,ASSUMPTIONS!$B$21),1),0)</f>
        <v>0</v>
      </c>
      <c r="P8" s="13" t="n">
        <f aca="false">IFERROR(INDEX(CAPABILITIES!$E$7:$E$15,MATCH(PLAY!$F8,CAPABILITIES!$A$7:$A$15,0)),0)</f>
        <v>0</v>
      </c>
      <c r="Q8" s="13" t="n">
        <f aca="false">IFERROR(INDEX(CAPABILITIES!$F$7:$F$15,MATCH(PLAY!$F8,CAPABILITIES!$A$7:$A$15,0)),0)</f>
        <v>0</v>
      </c>
      <c r="R8" s="13" t="n">
        <f aca="false">IFERROR(INDEX(CAPABILITIES!$G$7:$G$15,MATCH(PLAY!$F8,CAPABILITIES!$A$7:$A$15,0)),0)</f>
        <v>0</v>
      </c>
      <c r="S8" s="13" t="n">
        <f aca="false">IFERROR(INDEX(CAPABILITIES!$H$7:$H$15,MATCH(PLAY!$F8,CAPABILITIES!$A$7:$A$15,0)),"")</f>
        <v>0</v>
      </c>
      <c r="T8" s="13" t="n">
        <f aca="false">IFERROR(INDEX(CAPABILITIES!$D$7:$D$15,MATCH(PLAY!$F8,CAPABILITIES!$A$7:$A$15,0))*INDEX(CAPABILITIES!$I$7:$I$15,MATCH(PLAY!$F8,CAPABILITIES!$A$7:$A$15,0)),0)</f>
        <v>0</v>
      </c>
      <c r="U8" s="13" t="n">
        <f aca="false">IFERROR(INDEX(CAPABILITIES!$E$7:$E$15,MATCH(PLAY!$F8,CAPABILITIES!$A$7:$A$15,0))+INDEX(CAPABILITIES!$J$7:$J$15,MATCH(PLAY!$F8,CAPABILITIES!$A$7:$A$15,0)),0)</f>
        <v>0</v>
      </c>
      <c r="V8" s="13" t="n">
        <f aca="false">IFERROR(INDEX(CAPABILITIES!$L$7:$L$15,MATCH(PLAY!$F8,CAPABILITIES!$A$7:$A$15,0)),0)</f>
        <v>0</v>
      </c>
      <c r="W8" s="28" t="n">
        <f aca="false">CLIMATE!D8</f>
        <v>1.297</v>
      </c>
      <c r="X8" s="28" t="n">
        <f aca="false">CLIMATE!E8</f>
        <v>0.371</v>
      </c>
      <c r="Y8" s="28" t="n">
        <f aca="false">CLIMATE!F8</f>
        <v>0.215</v>
      </c>
      <c r="Z8" s="28" t="n">
        <f aca="false">CLIMATE!G8</f>
        <v>0</v>
      </c>
      <c r="AA8" s="28" t="n">
        <f aca="false">CLIMATE!H8+IFERROR(INDEX($W$8:$W$47,$A8-GRAPH!B17),0)*GRAPH!B9+IFERROR(INDEX($X$8:$X$47,$A8-GRAPH!B18),0)*GRAPH!B10+IFERROR(INDEX($Y$8:$Y$47,$A8-GRAPH!B19),0)*GRAPH!B11+IFERROR(INDEX($Z$8:$Z$47,$A8-GRAPH!B20),0)*GRAPH!B12</f>
        <v>0.2</v>
      </c>
      <c r="AB8" s="28" t="n">
        <f aca="false">CLIMATE!I8+IFERROR(INDEX($W$8:$W$47,$A8-GRAPH!C17),0)*GRAPH!C9+IFERROR(INDEX($X$8:$X$47,$A8-GRAPH!C18),0)*GRAPH!C10+IFERROR(INDEX($Y$8:$Y$47,$A8-GRAPH!C19),0)*GRAPH!C11+IFERROR(INDEX($Z$8:$Z$47,$A8-GRAPH!C20),0)*GRAPH!C12</f>
        <v>0.224</v>
      </c>
      <c r="AC8" s="28" t="n">
        <f aca="false">CLIMATE!J8+IFERROR(INDEX($W$8:$W$47,$A8-GRAPH!D17),0)*GRAPH!D9+IFERROR(INDEX($X$8:$X$47,$A8-GRAPH!D18),0)*GRAPH!D10+IFERROR(INDEX($Y$8:$Y$47,$A8-GRAPH!D19),0)*GRAPH!D11+IFERROR(INDEX($Z$8:$Z$47,$A8-GRAPH!D20),0)*GRAPH!D12</f>
        <v>0.153</v>
      </c>
      <c r="AD8" s="28" t="n">
        <f aca="false">CLIMATE!K8+IFERROR(INDEX($W$8:$W$47,$A8-GRAPH!E17),0)*GRAPH!E9+IFERROR(INDEX($X$8:$X$47,$A8-GRAPH!E18),0)*GRAPH!E10+IFERROR(INDEX($Y$8:$Y$47,$A8-GRAPH!E19),0)*GRAPH!E11+IFERROR(INDEX($Z$8:$Z$47,$A8-GRAPH!E20),0)*GRAPH!E12</f>
        <v>-0.5242</v>
      </c>
      <c r="AE8" s="28" t="n">
        <f aca="false">CLIMATE!L8+IFERROR(INDEX($W$8:$W$47,$A8-GRAPH!F17),0)*GRAPH!F9+IFERROR(INDEX($X$8:$X$47,$A8-GRAPH!F18),0)*GRAPH!F10+IFERROR(INDEX($Y$8:$Y$47,$A8-GRAPH!F19),0)*GRAPH!F11+IFERROR(INDEX($Z$8:$Z$47,$A8-GRAPH!F20),0)*GRAPH!F12</f>
        <v>-0.6441</v>
      </c>
      <c r="AF8" s="28" t="n">
        <f aca="false">CLIMATE!M8+IFERROR(INDEX($W$8:$W$47,$A8-GRAPH!G17),0)*GRAPH!G9+IFERROR(INDEX($X$8:$X$47,$A8-GRAPH!G18),0)*GRAPH!G10+IFERROR(INDEX($Y$8:$Y$47,$A8-GRAPH!G19),0)*GRAPH!G11+IFERROR(INDEX($Z$8:$Z$47,$A8-GRAPH!G20),0)*GRAPH!G12</f>
        <v>-1.2409</v>
      </c>
      <c r="AG8" s="28" t="n">
        <f aca="false">CLIMATE!N8+IFERROR(INDEX($W$8:$W$47,$A8-GRAPH!H17),0)*GRAPH!H9+IFERROR(INDEX($X$8:$X$47,$A8-GRAPH!H18),0)*GRAPH!H10+IFERROR(INDEX($Y$8:$Y$47,$A8-GRAPH!H19),0)*GRAPH!H11+IFERROR(INDEX($Z$8:$Z$47,$A8-GRAPH!H20),0)*GRAPH!H12</f>
        <v>-0.04</v>
      </c>
      <c r="AH8" s="28" t="n">
        <f aca="false">CLIMATE!O8+IFERROR(INDEX($W$8:$W$47,$A8-GRAPH!I17),0)*GRAPH!I9+IFERROR(INDEX($X$8:$X$47,$A8-GRAPH!I18),0)*GRAPH!I10+IFERROR(INDEX($Y$8:$Y$47,$A8-GRAPH!I19),0)*GRAPH!I11+IFERROR(INDEX($Z$8:$Z$47,$A8-GRAPH!I20),0)*GRAPH!I12</f>
        <v>0.0718</v>
      </c>
      <c r="AI8" s="28" t="n">
        <f aca="false">REGIONS!$F$7*(1+ASSUMPTIONS!$B$19*$A8)</f>
        <v>0.8048</v>
      </c>
      <c r="AJ8" s="28" t="n">
        <f aca="false">REGIONS!$F$8*(1+ASSUMPTIONS!$B$19*$A8)</f>
        <v>0.9054</v>
      </c>
      <c r="AK8" s="28" t="n">
        <f aca="false">REGIONS!$F$9*(1+ASSUMPTIONS!$B$19*$A8)</f>
        <v>0.9054</v>
      </c>
      <c r="AL8" s="28" t="n">
        <f aca="false">REGIONS!$F$10*(1+ASSUMPTIONS!$B$19*$A8)</f>
        <v>0.7042</v>
      </c>
      <c r="AM8" s="28" t="n">
        <f aca="false">REGIONS!$F$11*(1+ASSUMPTIONS!$B$19*$A8)</f>
        <v>0.7042</v>
      </c>
      <c r="AN8" s="28" t="n">
        <f aca="false">REGIONS!$F$12*(1+ASSUMPTIONS!$B$19*$A8)</f>
        <v>1.1066</v>
      </c>
      <c r="AO8" s="28" t="n">
        <f aca="false">REGIONS!$F$13*(1+ASSUMPTIONS!$B$19*$A8)</f>
        <v>1.2072</v>
      </c>
      <c r="AP8" s="28" t="n">
        <f aca="false">REGIONS!$F$14*(1+ASSUMPTIONS!$B$19*$A8)</f>
        <v>1.2072</v>
      </c>
      <c r="AQ8" s="11" t="n">
        <f aca="false">SUMPRODUCT(($D$8:$D$47=REGIONS!$B$7)*($A$8:$A$47&lt;=$A8)*$L$8:$L$47)+SUMPRODUCT(($N$8:$N$47=REGIONS!$B$7)*($A$8:$A$47&lt;=$A8)*$V$8:$V$47)</f>
        <v>0</v>
      </c>
      <c r="AR8" s="11" t="n">
        <f aca="false">SUMPRODUCT(($D$8:$D$47=REGIONS!$B$8)*($A$8:$A$47&lt;=$A8)*$L$8:$L$47)+SUMPRODUCT(($N$8:$N$47=REGIONS!$B$8)*($A$8:$A$47&lt;=$A8)*$V$8:$V$47)</f>
        <v>0</v>
      </c>
      <c r="AS8" s="11" t="n">
        <f aca="false">SUMPRODUCT(($D$8:$D$47=REGIONS!$B$9)*($A$8:$A$47&lt;=$A8)*$L$8:$L$47)+SUMPRODUCT(($N$8:$N$47=REGIONS!$B$9)*($A$8:$A$47&lt;=$A8)*$V$8:$V$47)</f>
        <v>0</v>
      </c>
      <c r="AT8" s="11" t="n">
        <f aca="false">SUMPRODUCT(($D$8:$D$47=REGIONS!$B$10)*($A$8:$A$47&lt;=$A8)*$L$8:$L$47)+SUMPRODUCT(($N$8:$N$47=REGIONS!$B$10)*($A$8:$A$47&lt;=$A8)*$V$8:$V$47)</f>
        <v>0</v>
      </c>
      <c r="AU8" s="11" t="n">
        <f aca="false">SUMPRODUCT(($D$8:$D$47=REGIONS!$B$11)*($A$8:$A$47&lt;=$A8)*$L$8:$L$47)+SUMPRODUCT(($N$8:$N$47=REGIONS!$B$11)*($A$8:$A$47&lt;=$A8)*$V$8:$V$47)</f>
        <v>0</v>
      </c>
      <c r="AV8" s="11" t="n">
        <f aca="false">SUMPRODUCT(($D$8:$D$47=REGIONS!$B$12)*($A$8:$A$47&lt;=$A8)*$L$8:$L$47)+SUMPRODUCT(($N$8:$N$47=REGIONS!$B$12)*($A$8:$A$47&lt;=$A8)*$V$8:$V$47)</f>
        <v>0</v>
      </c>
      <c r="AW8" s="11" t="n">
        <f aca="false">SUMPRODUCT(($D$8:$D$47=REGIONS!$B$13)*($A$8:$A$47&lt;=$A8)*$L$8:$L$47)+SUMPRODUCT(($N$8:$N$47=REGIONS!$B$13)*($A$8:$A$47&lt;=$A8)*$V$8:$V$47)</f>
        <v>0</v>
      </c>
      <c r="AX8" s="11" t="n">
        <f aca="false">SUMPRODUCT(($D$8:$D$47=REGIONS!$B$14)*($A$8:$A$47&lt;=$A8)*$L$8:$L$47)+SUMPRODUCT(($N$8:$N$47=REGIONS!$B$14)*($A$8:$A$47&lt;=$A8)*$V$8:$V$47)</f>
        <v>0</v>
      </c>
      <c r="AY8" s="12" t="n">
        <f aca="false">MAX(0,MIN(135,100-(MAX(0,-$AA8)*REGIONS!$E$7*ASSUMPTIONS!$B$7+MAX(0,$AA8-ASSUMPTIONS!$B$9)*REGIONS!$E$7*ASSUMPTIONS!$B$8)*(1-$AQ8/100)))</f>
        <v>100</v>
      </c>
      <c r="AZ8" s="12" t="n">
        <f aca="false">MAX(0,MIN(135,100-(MAX(0,-$AB8)*REGIONS!$E$8*ASSUMPTIONS!$B$7+MAX(0,$AB8-ASSUMPTIONS!$B$9)*REGIONS!$E$8*ASSUMPTIONS!$B$8)*(1-$AR8/100)))</f>
        <v>100</v>
      </c>
      <c r="BA8" s="12" t="n">
        <f aca="false">MAX(0,MIN(135,100-(MAX(0,-$AC8)*REGIONS!$E$9*ASSUMPTIONS!$B$7+MAX(0,$AC8-ASSUMPTIONS!$B$9)*REGIONS!$E$9*ASSUMPTIONS!$B$8)*(1-$AS8/100)))</f>
        <v>100</v>
      </c>
      <c r="BB8" s="12" t="n">
        <f aca="false">MAX(0,MIN(135,100-(MAX(0,-$AD8)*REGIONS!$E$10*ASSUMPTIONS!$B$7+MAX(0,$AD8-ASSUMPTIONS!$B$9)*REGIONS!$E$10*ASSUMPTIONS!$B$8)*(1-$AT8/100)))</f>
        <v>91.19344</v>
      </c>
      <c r="BC8" s="12" t="n">
        <f aca="false">MAX(0,MIN(135,100-(MAX(0,-$AE8)*REGIONS!$E$11*ASSUMPTIONS!$B$7+MAX(0,$AE8-ASSUMPTIONS!$B$9)*REGIONS!$E$11*ASSUMPTIONS!$B$8)*(1-$AU8/100)))</f>
        <v>90.08086</v>
      </c>
      <c r="BD8" s="12" t="n">
        <f aca="false">MAX(0,MIN(135,100-(MAX(0,-$AF8)*REGIONS!$E$12*ASSUMPTIONS!$B$7+MAX(0,$AF8-ASSUMPTIONS!$B$9)*REGIONS!$E$12*ASSUMPTIONS!$B$8)*(1-$AV8/100)))</f>
        <v>77.41562</v>
      </c>
      <c r="BE8" s="12" t="n">
        <f aca="false">MAX(0,MIN(135,100-(MAX(0,-$AG8)*REGIONS!$E$13*ASSUMPTIONS!$B$7+MAX(0,$AG8-ASSUMPTIONS!$B$9)*REGIONS!$E$13*ASSUMPTIONS!$B$8)*(1-$AW8/100)))</f>
        <v>99.216</v>
      </c>
      <c r="BF8" s="12" t="n">
        <f aca="false">MAX(0,MIN(135,100-(MAX(0,-$AH8)*REGIONS!$E$14*ASSUMPTIONS!$B$7+MAX(0,$AH8-ASSUMPTIONS!$B$9)*REGIONS!$E$14*ASSUMPTIONS!$B$8)*(1-$AX8/100)))</f>
        <v>100</v>
      </c>
      <c r="BG8" s="12" t="n">
        <f aca="false">$AY8*REGIONS!$D$7/100+$AZ8*REGIONS!$D$8/100+$BA8*REGIONS!$D$9/100+$BB8*REGIONS!$D$10/100+$BC8*REGIONS!$D$11/100+$BD8*REGIONS!$D$12/100+$BE8*REGIONS!$D$13/100+$BF8*REGIONS!$D$14/100</f>
        <v>95.5965758</v>
      </c>
      <c r="BH8" s="12" t="n">
        <f aca="false">100*(100/MAX(1,$BG8))^ASSUMPTIONS!$B$10</f>
        <v>108.443567037673</v>
      </c>
      <c r="BI8" s="12" t="n">
        <f aca="false">$AY8*$BH8/100*ASSUMPTIONS!$B$11</f>
        <v>92.1770319820224</v>
      </c>
      <c r="BJ8" s="28" t="n">
        <f aca="false">MAX(0,ABS($AA8)-$AI8*ASSUMPTIONS!$B$24)*REGIONS!$D$7/100+MAX(0,ABS($AB8)-$AJ8*ASSUMPTIONS!$B$24)*REGIONS!$D$8/100+MAX(0,ABS($AC8)-$AK8*ASSUMPTIONS!$B$24)*REGIONS!$D$9/100+MAX(0,ABS($AD8)-$AL8*ASSUMPTIONS!$B$24)*REGIONS!$D$10/100+MAX(0,ABS($AE8)-$AM8*ASSUMPTIONS!$B$24)*REGIONS!$D$11/100+MAX(0,ABS($AF8)-$AN8*ASSUMPTIONS!$B$24)*REGIONS!$D$12/100+MAX(0,ABS($AG8)-$AO8*ASSUMPTIONS!$B$24)*REGIONS!$D$13/100+MAX(0,ABS($AH8)-$AP8*ASSUMPTIONS!$B$24)*REGIONS!$D$14/100</f>
        <v>0.0426805</v>
      </c>
      <c r="BK8" s="12" t="n">
        <f aca="false">MIN(ASSUMPTIONS!$B$14,ASSUMPTIONS!$B$12+$BJ8*ASSUMPTIONS!$B$13)</f>
        <v>29.792581</v>
      </c>
      <c r="BL8" s="11" t="n">
        <f aca="false">$H8+$R8</f>
        <v>6</v>
      </c>
      <c r="BM8" s="11" t="n">
        <f aca="false">PLAY!$H8</f>
        <v>0</v>
      </c>
      <c r="BN8" s="12" t="n">
        <f aca="false">$BI8*ASSUMPTIONS!$B$15+$BK8*ASSUMPTIONS!$B$16</f>
        <v>37.8745667378427</v>
      </c>
      <c r="BO8" s="12" t="n">
        <f aca="false">ASSUMPTIONS!$B$25+$BN8-$BL8-$BM8-ASSUMPTIONS!$B$23</f>
        <v>89.8745667378427</v>
      </c>
      <c r="BP8" s="12" t="n">
        <f aca="false">(0+0)*(1+ASSUMPTIONS!$B$22*(MAX(0,ABS($AA8)/$AI8-1)+MAX(0,ABS($AB8)/$AJ8-1)+MAX(0,ABS($AC8)/$AK8-1)+MAX(0,ABS($AD8)/$AL8-1)+MAX(0,ABS($AE8)/$AM8-1)+MAX(0,ABS($AF8)/$AN8-1)+MAX(0,ABS($AG8)/$AO8-1)+MAX(0,ABS($AH8)/$AP8-1))/8)</f>
        <v>0</v>
      </c>
      <c r="BQ8" s="12" t="n">
        <f aca="false">MAX(0,0*(1-ASSUMPTIONS!$B$18)+$BP8-$BM8*ASSUMPTIONS!$B$17)</f>
        <v>0</v>
      </c>
    </row>
    <row r="9" customFormat="false" ht="15" hidden="false" customHeight="false" outlineLevel="0" collapsed="false">
      <c r="A9" s="13" t="n">
        <v>2</v>
      </c>
      <c r="B9" s="11" t="n">
        <f aca="false">CLIMATE!B9</f>
        <v>1946</v>
      </c>
      <c r="C9" s="13" t="str">
        <f aca="false">IFERROR(INDEX(CAPABILITIES!$B$7:$B$15,MATCH(PLAY!$D9,CAPABILITIES!$A$7:$A$15,0)),"NONE")</f>
        <v>NONE</v>
      </c>
      <c r="D9" s="13" t="n">
        <f aca="false">IFERROR(IF(INDEX(CAPABILITIES!$B$7:$B$15,MATCH(PLAY!$D9,CAPABILITIES!$A$7:$A$15,0))="DRIVER",INDEX(CAPABILITIES!$C$7:$C$15,MATCH(PLAY!$D9,CAPABILITIES!$A$7:$A$15,0)),PLAY!$E9),"")</f>
        <v>0</v>
      </c>
      <c r="E9" s="13" t="n">
        <f aca="false">IFERROR(INDEX(CAPABILITIES!$D$7:$D$15,MATCH(PLAY!$D9,CAPABILITIES!$A$7:$A$15,0))*IF(INDEX(CAPABILITIES!$K$7:$K$15,MATCH(PLAY!$D9,CAPABILITIES!$A$7:$A$15,0))="Y",IF(IFERROR(INDEX($AA8:$AH8,MATCH(PLAY!$E9,REGIONS!$B$7:$B$14,0)),0)&lt;ASSUMPTIONS!$B$20,1,ASSUMPTIONS!$B$21),1),0)</f>
        <v>0</v>
      </c>
      <c r="F9" s="13" t="n">
        <f aca="false">IFERROR(INDEX(CAPABILITIES!$E$7:$E$15,MATCH(PLAY!$D9,CAPABILITIES!$A$7:$A$15,0)),0)</f>
        <v>0</v>
      </c>
      <c r="G9" s="13" t="n">
        <f aca="false">IFERROR(INDEX(CAPABILITIES!$F$7:$F$15,MATCH(PLAY!$D9,CAPABILITIES!$A$7:$A$15,0)),0)</f>
        <v>0</v>
      </c>
      <c r="H9" s="13" t="n">
        <f aca="false">IFERROR(INDEX(CAPABILITIES!$G$7:$G$15,MATCH(PLAY!$D9,CAPABILITIES!$A$7:$A$15,0)),0)</f>
        <v>0</v>
      </c>
      <c r="I9" s="13" t="n">
        <f aca="false">IFERROR(INDEX(CAPABILITIES!$H$7:$H$15,MATCH(PLAY!$D9,CAPABILITIES!$A$7:$A$15,0)),"")</f>
        <v>0</v>
      </c>
      <c r="J9" s="13" t="n">
        <f aca="false">IFERROR(INDEX(CAPABILITIES!$D$7:$D$15,MATCH(PLAY!$D9,CAPABILITIES!$A$7:$A$15,0))*INDEX(CAPABILITIES!$I$7:$I$15,MATCH(PLAY!$D9,CAPABILITIES!$A$7:$A$15,0)),0)</f>
        <v>0</v>
      </c>
      <c r="K9" s="13" t="n">
        <f aca="false">IFERROR(INDEX(CAPABILITIES!$E$7:$E$15,MATCH(PLAY!$D9,CAPABILITIES!$A$7:$A$15,0))+INDEX(CAPABILITIES!$J$7:$J$15,MATCH(PLAY!$D9,CAPABILITIES!$A$7:$A$15,0)),0)</f>
        <v>0</v>
      </c>
      <c r="L9" s="13" t="n">
        <f aca="false">IFERROR(INDEX(CAPABILITIES!$L$7:$L$15,MATCH(PLAY!$D9,CAPABILITIES!$A$7:$A$15,0)),0)</f>
        <v>0</v>
      </c>
      <c r="M9" s="13" t="str">
        <f aca="false">IFERROR(INDEX(CAPABILITIES!$B$7:$B$15,MATCH(PLAY!$F9,CAPABILITIES!$A$7:$A$15,0)),"NONE")</f>
        <v>NONE</v>
      </c>
      <c r="N9" s="13" t="n">
        <f aca="false">IFERROR(IF(INDEX(CAPABILITIES!$B$7:$B$15,MATCH(PLAY!$F9,CAPABILITIES!$A$7:$A$15,0))="DRIVER",INDEX(CAPABILITIES!$C$7:$C$15,MATCH(PLAY!$F9,CAPABILITIES!$A$7:$A$15,0)),PLAY!$G9),"")</f>
        <v>0</v>
      </c>
      <c r="O9" s="13" t="n">
        <f aca="false">IFERROR(INDEX(CAPABILITIES!$D$7:$D$15,MATCH(PLAY!$F9,CAPABILITIES!$A$7:$A$15,0))*IF(INDEX(CAPABILITIES!$K$7:$K$15,MATCH(PLAY!$F9,CAPABILITIES!$A$7:$A$15,0))="Y",IF(IFERROR(INDEX($AA8:$AH8,MATCH(PLAY!$G9,REGIONS!$B$7:$B$14,0)),0)&lt;ASSUMPTIONS!$B$20,1,ASSUMPTIONS!$B$21),1),0)</f>
        <v>0</v>
      </c>
      <c r="P9" s="13" t="n">
        <f aca="false">IFERROR(INDEX(CAPABILITIES!$E$7:$E$15,MATCH(PLAY!$F9,CAPABILITIES!$A$7:$A$15,0)),0)</f>
        <v>0</v>
      </c>
      <c r="Q9" s="13" t="n">
        <f aca="false">IFERROR(INDEX(CAPABILITIES!$F$7:$F$15,MATCH(PLAY!$F9,CAPABILITIES!$A$7:$A$15,0)),0)</f>
        <v>0</v>
      </c>
      <c r="R9" s="13" t="n">
        <f aca="false">IFERROR(INDEX(CAPABILITIES!$G$7:$G$15,MATCH(PLAY!$F9,CAPABILITIES!$A$7:$A$15,0)),0)</f>
        <v>0</v>
      </c>
      <c r="S9" s="13" t="n">
        <f aca="false">IFERROR(INDEX(CAPABILITIES!$H$7:$H$15,MATCH(PLAY!$F9,CAPABILITIES!$A$7:$A$15,0)),"")</f>
        <v>0</v>
      </c>
      <c r="T9" s="13" t="n">
        <f aca="false">IFERROR(INDEX(CAPABILITIES!$D$7:$D$15,MATCH(PLAY!$F9,CAPABILITIES!$A$7:$A$15,0))*INDEX(CAPABILITIES!$I$7:$I$15,MATCH(PLAY!$F9,CAPABILITIES!$A$7:$A$15,0)),0)</f>
        <v>0</v>
      </c>
      <c r="U9" s="13" t="n">
        <f aca="false">IFERROR(INDEX(CAPABILITIES!$E$7:$E$15,MATCH(PLAY!$F9,CAPABILITIES!$A$7:$A$15,0))+INDEX(CAPABILITIES!$J$7:$J$15,MATCH(PLAY!$F9,CAPABILITIES!$A$7:$A$15,0)),0)</f>
        <v>0</v>
      </c>
      <c r="V9" s="13" t="n">
        <f aca="false">IFERROR(INDEX(CAPABILITIES!$L$7:$L$15,MATCH(PLAY!$F9,CAPABILITIES!$A$7:$A$15,0)),0)</f>
        <v>0</v>
      </c>
      <c r="W9" s="28" t="n">
        <f aca="false">CLIMATE!D9+SUMPRODUCT(($D$8:$D$8="ENSO")*($F$8:$F$8+$A$8:$A$8=$A9)*$E$8:$E$8)+SUMPRODUCT(($I$8:$I$8="ENSO")*($K$8:$K$8+$A$8:$A$8=$A9)*$J$8:$J$8)+SUMPRODUCT(($N$8:$N$8="ENSO")*($P$8:$P$8+$A$8:$A$8=$A9)*$O$8:$O$8)+SUMPRODUCT(($S$8:$S$8="ENSO")*($U$8:$U$8+$A$8:$A$8=$A9)*$T$8:$T$8)</f>
        <v>1.188</v>
      </c>
      <c r="X9" s="28" t="n">
        <f aca="false">CLIMATE!E9+SUMPRODUCT(($D$8:$D$8="IOD")*($F$8:$F$8+$A$8:$A$8=$A9)*$E$8:$E$8)+SUMPRODUCT(($I$8:$I$8="IOD")*($K$8:$K$8+$A$8:$A$8=$A9)*$J$8:$J$8)+SUMPRODUCT(($N$8:$N$8="IOD")*($P$8:$P$8+$A$8:$A$8=$A9)*$O$8:$O$8)+SUMPRODUCT(($S$8:$S$8="IOD")*($U$8:$U$8+$A$8:$A$8=$A9)*$T$8:$T$8)</f>
        <v>0.084</v>
      </c>
      <c r="Y9" s="28" t="n">
        <f aca="false">CLIMATE!F9+SUMPRODUCT(($D$8:$D$8="NATL")*($F$8:$F$8+$A$8:$A$8=$A9)*$E$8:$E$8)+SUMPRODUCT(($I$8:$I$8="NATL")*($K$8:$K$8+$A$8:$A$8=$A9)*$J$8:$J$8)+SUMPRODUCT(($N$8:$N$8="NATL")*($P$8:$P$8+$A$8:$A$8=$A9)*$O$8:$O$8)+SUMPRODUCT(($S$8:$S$8="NATL")*($U$8:$U$8+$A$8:$A$8=$A9)*$T$8:$T$8)</f>
        <v>0.074</v>
      </c>
      <c r="Z9" s="28" t="n">
        <f aca="false">CLIMATE!G9+SUMPRODUCT(($D$8:$D$8="GLOBAL")*($F$8:$F$8+$A$8:$A$8=$A9)*$E$8:$E$8)+SUMPRODUCT(($I$8:$I$8="GLOBAL")*($K$8:$K$8+$A$8:$A$8=$A9)*$J$8:$J$8)+SUMPRODUCT(($N$8:$N$8="GLOBAL")*($P$8:$P$8+$A$8:$A$8=$A9)*$O$8:$O$8)+SUMPRODUCT(($S$8:$S$8="GLOBAL")*($U$8:$U$8+$A$8:$A$8=$A9)*$T$8:$T$8)</f>
        <v>0</v>
      </c>
      <c r="AA9" s="28" t="n">
        <f aca="false">CLIMATE!H9+IFERROR(INDEX($W$8:$W$47,$A9-GRAPH!B17),0)*GRAPH!B9+IFERROR(INDEX($X$8:$X$47,$A9-GRAPH!B18),0)*GRAPH!B10+IFERROR(INDEX($Y$8:$Y$47,$A9-GRAPH!B19),0)*GRAPH!B11+IFERROR(INDEX($Z$8:$Z$47,$A9-GRAPH!B20),0)*GRAPH!B12+SUMPRODUCT(($D$8:$D$8=REGIONS!$B$7)*($F$8:$F$8+$A$8:$A$8=$A9)*$E$8:$E$8)+SUMPRODUCT(($N$8:$N$8=REGIONS!$B$7)*($P$8:$P$8+$A$8:$A$8=$A9)*$O$8:$O$8)</f>
        <v>0.2544</v>
      </c>
      <c r="AB9" s="28" t="n">
        <f aca="false">CLIMATE!I9+IFERROR(INDEX($W$8:$W$47,$A9-GRAPH!C17),0)*GRAPH!C9+IFERROR(INDEX($X$8:$X$47,$A9-GRAPH!C18),0)*GRAPH!C10+IFERROR(INDEX($Y$8:$Y$47,$A9-GRAPH!C19),0)*GRAPH!C11+IFERROR(INDEX($Z$8:$Z$47,$A9-GRAPH!C20),0)*GRAPH!C12+SUMPRODUCT(($D$8:$D$8=REGIONS!$B$8)*($F$8:$F$8+$A$8:$A$8=$A9)*$E$8:$E$8)+SUMPRODUCT(($N$8:$N$8=REGIONS!$B$8)*($P$8:$P$8+$A$8:$A$8=$A9)*$O$8:$O$8)</f>
        <v>0.012</v>
      </c>
      <c r="AC9" s="28" t="n">
        <f aca="false">CLIMATE!J9+IFERROR(INDEX($W$8:$W$47,$A9-GRAPH!D17),0)*GRAPH!D9+IFERROR(INDEX($X$8:$X$47,$A9-GRAPH!D18),0)*GRAPH!D10+IFERROR(INDEX($Y$8:$Y$47,$A9-GRAPH!D19),0)*GRAPH!D11+IFERROR(INDEX($Z$8:$Z$47,$A9-GRAPH!D20),0)*GRAPH!D12+SUMPRODUCT(($D$8:$D$8=REGIONS!$B$9)*($F$8:$F$8+$A$8:$A$8=$A9)*$E$8:$E$8)+SUMPRODUCT(($N$8:$N$8=REGIONS!$B$9)*($P$8:$P$8+$A$8:$A$8=$A9)*$O$8:$O$8)</f>
        <v>1.002</v>
      </c>
      <c r="AD9" s="28" t="n">
        <f aca="false">CLIMATE!K9+IFERROR(INDEX($W$8:$W$47,$A9-GRAPH!E17),0)*GRAPH!E9+IFERROR(INDEX($X$8:$X$47,$A9-GRAPH!E18),0)*GRAPH!E10+IFERROR(INDEX($Y$8:$Y$47,$A9-GRAPH!E19),0)*GRAPH!E11+IFERROR(INDEX($Z$8:$Z$47,$A9-GRAPH!E20),0)*GRAPH!E12+SUMPRODUCT(($D$8:$D$8=REGIONS!$B$10)*($F$8:$F$8+$A$8:$A$8=$A9)*$E$8:$E$8)+SUMPRODUCT(($N$8:$N$8=REGIONS!$B$10)*($P$8:$P$8+$A$8:$A$8=$A9)*$O$8:$O$8)</f>
        <v>-0.2504</v>
      </c>
      <c r="AE9" s="28" t="n">
        <f aca="false">CLIMATE!L9+IFERROR(INDEX($W$8:$W$47,$A9-GRAPH!F17),0)*GRAPH!F9+IFERROR(INDEX($X$8:$X$47,$A9-GRAPH!F18),0)*GRAPH!F10+IFERROR(INDEX($Y$8:$Y$47,$A9-GRAPH!F19),0)*GRAPH!F11+IFERROR(INDEX($Z$8:$Z$47,$A9-GRAPH!F20),0)*GRAPH!F12+SUMPRODUCT(($D$8:$D$8=REGIONS!$B$11)*($F$8:$F$8+$A$8:$A$8=$A9)*$E$8:$E$8)+SUMPRODUCT(($N$8:$N$8=REGIONS!$B$11)*($P$8:$P$8+$A$8:$A$8=$A9)*$O$8:$O$8)</f>
        <v>-0.8531</v>
      </c>
      <c r="AF9" s="28" t="n">
        <f aca="false">CLIMATE!M9+IFERROR(INDEX($W$8:$W$47,$A9-GRAPH!G17),0)*GRAPH!G9+IFERROR(INDEX($X$8:$X$47,$A9-GRAPH!G18),0)*GRAPH!G10+IFERROR(INDEX($Y$8:$Y$47,$A9-GRAPH!G19),0)*GRAPH!G11+IFERROR(INDEX($Z$8:$Z$47,$A9-GRAPH!G20),0)*GRAPH!G12+SUMPRODUCT(($D$8:$D$8=REGIONS!$B$12)*($F$8:$F$8+$A$8:$A$8=$A9)*$E$8:$E$8)+SUMPRODUCT(($N$8:$N$8=REGIONS!$B$12)*($P$8:$P$8+$A$8:$A$8=$A9)*$O$8:$O$8)</f>
        <v>-1.3979</v>
      </c>
      <c r="AG9" s="28" t="n">
        <f aca="false">CLIMATE!N9+IFERROR(INDEX($W$8:$W$47,$A9-GRAPH!H17),0)*GRAPH!H9+IFERROR(INDEX($X$8:$X$47,$A9-GRAPH!H18),0)*GRAPH!H10+IFERROR(INDEX($Y$8:$Y$47,$A9-GRAPH!H19),0)*GRAPH!H11+IFERROR(INDEX($Z$8:$Z$47,$A9-GRAPH!H20),0)*GRAPH!H12+SUMPRODUCT(($D$8:$D$8=REGIONS!$B$13)*($F$8:$F$8+$A$8:$A$8=$A9)*$E$8:$E$8)+SUMPRODUCT(($N$8:$N$8=REGIONS!$B$13)*($P$8:$P$8+$A$8:$A$8=$A9)*$O$8:$O$8)</f>
        <v>0.2688</v>
      </c>
      <c r="AH9" s="28" t="n">
        <f aca="false">CLIMATE!O9+IFERROR(INDEX($W$8:$W$47,$A9-GRAPH!I17),0)*GRAPH!I9+IFERROR(INDEX($X$8:$X$47,$A9-GRAPH!I18),0)*GRAPH!I10+IFERROR(INDEX($Y$8:$Y$47,$A9-GRAPH!I19),0)*GRAPH!I11+IFERROR(INDEX($Z$8:$Z$47,$A9-GRAPH!I20),0)*GRAPH!I12+SUMPRODUCT(($D$8:$D$8=REGIONS!$B$14)*($F$8:$F$8+$A$8:$A$8=$A9)*$E$8:$E$8)+SUMPRODUCT(($N$8:$N$8=REGIONS!$B$14)*($P$8:$P$8+$A$8:$A$8=$A9)*$O$8:$O$8)</f>
        <v>0.7566</v>
      </c>
      <c r="AI9" s="28" t="n">
        <f aca="false">REGIONS!$F$7*(1+ASSUMPTIONS!$B$19*$A9)</f>
        <v>0.8096</v>
      </c>
      <c r="AJ9" s="28" t="n">
        <f aca="false">REGIONS!$F$8*(1+ASSUMPTIONS!$B$19*$A9)</f>
        <v>0.9108</v>
      </c>
      <c r="AK9" s="28" t="n">
        <f aca="false">REGIONS!$F$9*(1+ASSUMPTIONS!$B$19*$A9)</f>
        <v>0.9108</v>
      </c>
      <c r="AL9" s="28" t="n">
        <f aca="false">REGIONS!$F$10*(1+ASSUMPTIONS!$B$19*$A9)</f>
        <v>0.7084</v>
      </c>
      <c r="AM9" s="28" t="n">
        <f aca="false">REGIONS!$F$11*(1+ASSUMPTIONS!$B$19*$A9)</f>
        <v>0.7084</v>
      </c>
      <c r="AN9" s="28" t="n">
        <f aca="false">REGIONS!$F$12*(1+ASSUMPTIONS!$B$19*$A9)</f>
        <v>1.1132</v>
      </c>
      <c r="AO9" s="28" t="n">
        <f aca="false">REGIONS!$F$13*(1+ASSUMPTIONS!$B$19*$A9)</f>
        <v>1.2144</v>
      </c>
      <c r="AP9" s="28" t="n">
        <f aca="false">REGIONS!$F$14*(1+ASSUMPTIONS!$B$19*$A9)</f>
        <v>1.2144</v>
      </c>
      <c r="AQ9" s="11" t="n">
        <f aca="false">SUMPRODUCT(($D$8:$D$47=REGIONS!$B$7)*($A$8:$A$47&lt;=$A9)*$L$8:$L$47)+SUMPRODUCT(($N$8:$N$47=REGIONS!$B$7)*($A$8:$A$47&lt;=$A9)*$V$8:$V$47)</f>
        <v>0</v>
      </c>
      <c r="AR9" s="11" t="n">
        <f aca="false">SUMPRODUCT(($D$8:$D$47=REGIONS!$B$8)*($A$8:$A$47&lt;=$A9)*$L$8:$L$47)+SUMPRODUCT(($N$8:$N$47=REGIONS!$B$8)*($A$8:$A$47&lt;=$A9)*$V$8:$V$47)</f>
        <v>0</v>
      </c>
      <c r="AS9" s="11" t="n">
        <f aca="false">SUMPRODUCT(($D$8:$D$47=REGIONS!$B$9)*($A$8:$A$47&lt;=$A9)*$L$8:$L$47)+SUMPRODUCT(($N$8:$N$47=REGIONS!$B$9)*($A$8:$A$47&lt;=$A9)*$V$8:$V$47)</f>
        <v>0</v>
      </c>
      <c r="AT9" s="11" t="n">
        <f aca="false">SUMPRODUCT(($D$8:$D$47=REGIONS!$B$10)*($A$8:$A$47&lt;=$A9)*$L$8:$L$47)+SUMPRODUCT(($N$8:$N$47=REGIONS!$B$10)*($A$8:$A$47&lt;=$A9)*$V$8:$V$47)</f>
        <v>0</v>
      </c>
      <c r="AU9" s="11" t="n">
        <f aca="false">SUMPRODUCT(($D$8:$D$47=REGIONS!$B$11)*($A$8:$A$47&lt;=$A9)*$L$8:$L$47)+SUMPRODUCT(($N$8:$N$47=REGIONS!$B$11)*($A$8:$A$47&lt;=$A9)*$V$8:$V$47)</f>
        <v>0</v>
      </c>
      <c r="AV9" s="11" t="n">
        <f aca="false">SUMPRODUCT(($D$8:$D$47=REGIONS!$B$12)*($A$8:$A$47&lt;=$A9)*$L$8:$L$47)+SUMPRODUCT(($N$8:$N$47=REGIONS!$B$12)*($A$8:$A$47&lt;=$A9)*$V$8:$V$47)</f>
        <v>0</v>
      </c>
      <c r="AW9" s="11" t="n">
        <f aca="false">SUMPRODUCT(($D$8:$D$47=REGIONS!$B$13)*($A$8:$A$47&lt;=$A9)*$L$8:$L$47)+SUMPRODUCT(($N$8:$N$47=REGIONS!$B$13)*($A$8:$A$47&lt;=$A9)*$V$8:$V$47)</f>
        <v>0</v>
      </c>
      <c r="AX9" s="11" t="n">
        <f aca="false">SUMPRODUCT(($D$8:$D$47=REGIONS!$B$14)*($A$8:$A$47&lt;=$A9)*$L$8:$L$47)+SUMPRODUCT(($N$8:$N$47=REGIONS!$B$14)*($A$8:$A$47&lt;=$A9)*$V$8:$V$47)</f>
        <v>0</v>
      </c>
      <c r="AY9" s="12" t="n">
        <f aca="false">MAX(0,MIN(135,100-(MAX(0,-$AA9)*REGIONS!$E$7*ASSUMPTIONS!$B$7+MAX(0,$AA9-ASSUMPTIONS!$B$9)*REGIONS!$E$7*ASSUMPTIONS!$B$8)*(1-$AQ9/100)))</f>
        <v>100</v>
      </c>
      <c r="AZ9" s="12" t="n">
        <f aca="false">MAX(0,MIN(135,100-(MAX(0,-$AB9)*REGIONS!$E$8*ASSUMPTIONS!$B$7+MAX(0,$AB9-ASSUMPTIONS!$B$9)*REGIONS!$E$8*ASSUMPTIONS!$B$8)*(1-$AR9/100)))</f>
        <v>100</v>
      </c>
      <c r="BA9" s="12" t="n">
        <f aca="false">MAX(0,MIN(135,100-(MAX(0,-$AC9)*REGIONS!$E$9*ASSUMPTIONS!$B$7+MAX(0,$AC9-ASSUMPTIONS!$B$9)*REGIONS!$E$9*ASSUMPTIONS!$B$8)*(1-$AS9/100)))</f>
        <v>100</v>
      </c>
      <c r="BB9" s="12" t="n">
        <f aca="false">MAX(0,MIN(135,100-(MAX(0,-$AD9)*REGIONS!$E$10*ASSUMPTIONS!$B$7+MAX(0,$AD9-ASSUMPTIONS!$B$9)*REGIONS!$E$10*ASSUMPTIONS!$B$8)*(1-$AT9/100)))</f>
        <v>95.79328</v>
      </c>
      <c r="BC9" s="12" t="n">
        <f aca="false">MAX(0,MIN(135,100-(MAX(0,-$AE9)*REGIONS!$E$11*ASSUMPTIONS!$B$7+MAX(0,$AE9-ASSUMPTIONS!$B$9)*REGIONS!$E$11*ASSUMPTIONS!$B$8)*(1-$AU9/100)))</f>
        <v>86.86226</v>
      </c>
      <c r="BD9" s="12" t="n">
        <f aca="false">MAX(0,MIN(135,100-(MAX(0,-$AF9)*REGIONS!$E$12*ASSUMPTIONS!$B$7+MAX(0,$AF9-ASSUMPTIONS!$B$9)*REGIONS!$E$12*ASSUMPTIONS!$B$8)*(1-$AV9/100)))</f>
        <v>74.55822</v>
      </c>
      <c r="BE9" s="12" t="n">
        <f aca="false">MAX(0,MIN(135,100-(MAX(0,-$AG9)*REGIONS!$E$13*ASSUMPTIONS!$B$7+MAX(0,$AG9-ASSUMPTIONS!$B$9)*REGIONS!$E$13*ASSUMPTIONS!$B$8)*(1-$AW9/100)))</f>
        <v>100</v>
      </c>
      <c r="BF9" s="12" t="n">
        <f aca="false">MAX(0,MIN(135,100-(MAX(0,-$AH9)*REGIONS!$E$14*ASSUMPTIONS!$B$7+MAX(0,$AH9-ASSUMPTIONS!$B$9)*REGIONS!$E$14*ASSUMPTIONS!$B$8)*(1-$AX9/100)))</f>
        <v>100</v>
      </c>
      <c r="BG9" s="12" t="n">
        <f aca="false">$AY9*REGIONS!$D$7/100+$AZ9*REGIONS!$D$8/100+$BA9*REGIONS!$D$9/100+$BB9*REGIONS!$D$10/100+$BC9*REGIONS!$D$11/100+$BD9*REGIONS!$D$12/100+$BE9*REGIONS!$D$13/100+$BF9*REGIONS!$D$14/100</f>
        <v>95.885337</v>
      </c>
      <c r="BH9" s="12" t="n">
        <f aca="false">100*(100/MAX(1,$BG9))^ASSUMPTIONS!$B$10</f>
        <v>107.856430155653</v>
      </c>
      <c r="BI9" s="12" t="n">
        <f aca="false">$AY9*$BH9/100*ASSUMPTIONS!$B$11</f>
        <v>91.6779656323051</v>
      </c>
      <c r="BJ9" s="28" t="n">
        <f aca="false">MAX(0,ABS($AA9)-$AI9*ASSUMPTIONS!$B$24)*REGIONS!$D$7/100+MAX(0,ABS($AB9)-$AJ9*ASSUMPTIONS!$B$24)*REGIONS!$D$8/100+MAX(0,ABS($AC9)-$AK9*ASSUMPTIONS!$B$24)*REGIONS!$D$9/100+MAX(0,ABS($AD9)-$AL9*ASSUMPTIONS!$B$24)*REGIONS!$D$10/100+MAX(0,ABS($AE9)-$AM9*ASSUMPTIONS!$B$24)*REGIONS!$D$11/100+MAX(0,ABS($AF9)-$AN9*ASSUMPTIONS!$B$24)*REGIONS!$D$12/100+MAX(0,ABS($AG9)-$AO9*ASSUMPTIONS!$B$24)*REGIONS!$D$13/100+MAX(0,ABS($AH9)-$AP9*ASSUMPTIONS!$B$24)*REGIONS!$D$14/100</f>
        <v>0.125861</v>
      </c>
      <c r="BK9" s="12" t="n">
        <f aca="false">MIN(ASSUMPTIONS!$B$14,ASSUMPTIONS!$B$12+$BJ9*ASSUMPTIONS!$B$13)</f>
        <v>33.286162</v>
      </c>
      <c r="BL9" s="11" t="n">
        <f aca="false">$H9+$R9</f>
        <v>0</v>
      </c>
      <c r="BM9" s="11" t="n">
        <f aca="false">PLAY!$H9</f>
        <v>0</v>
      </c>
      <c r="BN9" s="12" t="n">
        <f aca="false">$BI9*ASSUMPTIONS!$B$15+$BK9*ASSUMPTIONS!$B$16</f>
        <v>40.9589016758766</v>
      </c>
      <c r="BO9" s="12" t="n">
        <f aca="false">$BO8+$BN9-$BL9-$BM9-ASSUMPTIONS!$B$23</f>
        <v>98.8334684137193</v>
      </c>
      <c r="BP9" s="12" t="n">
        <f aca="false">(SUMPRODUCT(($F$8:$F$8+$A$8:$A$8=$A9)*($C$8:$C$8&lt;&gt;"NONE")*$G$8:$G$8)+SUMPRODUCT(($P$8:$P$8+$A$8:$A$8=$A9)*($M$8:$M$8&lt;&gt;"NONE")*$Q$8:$Q$8))*(1+ASSUMPTIONS!$B$22*(MAX(0,ABS($AA9)/$AI9-1)+MAX(0,ABS($AB9)/$AJ9-1)+MAX(0,ABS($AC9)/$AK9-1)+MAX(0,ABS($AD9)/$AL9-1)+MAX(0,ABS($AE9)/$AM9-1)+MAX(0,ABS($AF9)/$AN9-1)+MAX(0,ABS($AG9)/$AO9-1)+MAX(0,ABS($AH9)/$AP9-1))/8)</f>
        <v>2.11202881440036</v>
      </c>
      <c r="BQ9" s="12" t="n">
        <f aca="false">MAX(0,$BQ8*(1-ASSUMPTIONS!$B$18)+$BP9-$BM9*ASSUMPTIONS!$B$17)</f>
        <v>2.11202881440036</v>
      </c>
    </row>
    <row r="10" customFormat="false" ht="15" hidden="false" customHeight="false" outlineLevel="0" collapsed="false">
      <c r="A10" s="13" t="n">
        <v>3</v>
      </c>
      <c r="B10" s="11" t="n">
        <f aca="false">CLIMATE!B10</f>
        <v>1946</v>
      </c>
      <c r="C10" s="13" t="str">
        <f aca="false">IFERROR(INDEX(CAPABILITIES!$B$7:$B$15,MATCH(PLAY!$D10,CAPABILITIES!$A$7:$A$15,0)),"NONE")</f>
        <v>NONE</v>
      </c>
      <c r="D10" s="13" t="n">
        <f aca="false">IFERROR(IF(INDEX(CAPABILITIES!$B$7:$B$15,MATCH(PLAY!$D10,CAPABILITIES!$A$7:$A$15,0))="DRIVER",INDEX(CAPABILITIES!$C$7:$C$15,MATCH(PLAY!$D10,CAPABILITIES!$A$7:$A$15,0)),PLAY!$E10),"")</f>
        <v>0</v>
      </c>
      <c r="E10" s="13" t="n">
        <f aca="false">IFERROR(INDEX(CAPABILITIES!$D$7:$D$15,MATCH(PLAY!$D10,CAPABILITIES!$A$7:$A$15,0))*IF(INDEX(CAPABILITIES!$K$7:$K$15,MATCH(PLAY!$D10,CAPABILITIES!$A$7:$A$15,0))="Y",IF(IFERROR(INDEX($AA9:$AH9,MATCH(PLAY!$E10,REGIONS!$B$7:$B$14,0)),0)&lt;ASSUMPTIONS!$B$20,1,ASSUMPTIONS!$B$21),1),0)</f>
        <v>0</v>
      </c>
      <c r="F10" s="13" t="n">
        <f aca="false">IFERROR(INDEX(CAPABILITIES!$E$7:$E$15,MATCH(PLAY!$D10,CAPABILITIES!$A$7:$A$15,0)),0)</f>
        <v>0</v>
      </c>
      <c r="G10" s="13" t="n">
        <f aca="false">IFERROR(INDEX(CAPABILITIES!$F$7:$F$15,MATCH(PLAY!$D10,CAPABILITIES!$A$7:$A$15,0)),0)</f>
        <v>0</v>
      </c>
      <c r="H10" s="13" t="n">
        <f aca="false">IFERROR(INDEX(CAPABILITIES!$G$7:$G$15,MATCH(PLAY!$D10,CAPABILITIES!$A$7:$A$15,0)),0)</f>
        <v>0</v>
      </c>
      <c r="I10" s="13" t="n">
        <f aca="false">IFERROR(INDEX(CAPABILITIES!$H$7:$H$15,MATCH(PLAY!$D10,CAPABILITIES!$A$7:$A$15,0)),"")</f>
        <v>0</v>
      </c>
      <c r="J10" s="13" t="n">
        <f aca="false">IFERROR(INDEX(CAPABILITIES!$D$7:$D$15,MATCH(PLAY!$D10,CAPABILITIES!$A$7:$A$15,0))*INDEX(CAPABILITIES!$I$7:$I$15,MATCH(PLAY!$D10,CAPABILITIES!$A$7:$A$15,0)),0)</f>
        <v>0</v>
      </c>
      <c r="K10" s="13" t="n">
        <f aca="false">IFERROR(INDEX(CAPABILITIES!$E$7:$E$15,MATCH(PLAY!$D10,CAPABILITIES!$A$7:$A$15,0))+INDEX(CAPABILITIES!$J$7:$J$15,MATCH(PLAY!$D10,CAPABILITIES!$A$7:$A$15,0)),0)</f>
        <v>0</v>
      </c>
      <c r="L10" s="13" t="n">
        <f aca="false">IFERROR(INDEX(CAPABILITIES!$L$7:$L$15,MATCH(PLAY!$D10,CAPABILITIES!$A$7:$A$15,0)),0)</f>
        <v>0</v>
      </c>
      <c r="M10" s="13" t="str">
        <f aca="false">IFERROR(INDEX(CAPABILITIES!$B$7:$B$15,MATCH(PLAY!$F10,CAPABILITIES!$A$7:$A$15,0)),"NONE")</f>
        <v>NONE</v>
      </c>
      <c r="N10" s="13" t="n">
        <f aca="false">IFERROR(IF(INDEX(CAPABILITIES!$B$7:$B$15,MATCH(PLAY!$F10,CAPABILITIES!$A$7:$A$15,0))="DRIVER",INDEX(CAPABILITIES!$C$7:$C$15,MATCH(PLAY!$F10,CAPABILITIES!$A$7:$A$15,0)),PLAY!$G10),"")</f>
        <v>0</v>
      </c>
      <c r="O10" s="13" t="n">
        <f aca="false">IFERROR(INDEX(CAPABILITIES!$D$7:$D$15,MATCH(PLAY!$F10,CAPABILITIES!$A$7:$A$15,0))*IF(INDEX(CAPABILITIES!$K$7:$K$15,MATCH(PLAY!$F10,CAPABILITIES!$A$7:$A$15,0))="Y",IF(IFERROR(INDEX($AA9:$AH9,MATCH(PLAY!$G10,REGIONS!$B$7:$B$14,0)),0)&lt;ASSUMPTIONS!$B$20,1,ASSUMPTIONS!$B$21),1),0)</f>
        <v>0</v>
      </c>
      <c r="P10" s="13" t="n">
        <f aca="false">IFERROR(INDEX(CAPABILITIES!$E$7:$E$15,MATCH(PLAY!$F10,CAPABILITIES!$A$7:$A$15,0)),0)</f>
        <v>0</v>
      </c>
      <c r="Q10" s="13" t="n">
        <f aca="false">IFERROR(INDEX(CAPABILITIES!$F$7:$F$15,MATCH(PLAY!$F10,CAPABILITIES!$A$7:$A$15,0)),0)</f>
        <v>0</v>
      </c>
      <c r="R10" s="13" t="n">
        <f aca="false">IFERROR(INDEX(CAPABILITIES!$G$7:$G$15,MATCH(PLAY!$F10,CAPABILITIES!$A$7:$A$15,0)),0)</f>
        <v>0</v>
      </c>
      <c r="S10" s="13" t="n">
        <f aca="false">IFERROR(INDEX(CAPABILITIES!$H$7:$H$15,MATCH(PLAY!$F10,CAPABILITIES!$A$7:$A$15,0)),"")</f>
        <v>0</v>
      </c>
      <c r="T10" s="13" t="n">
        <f aca="false">IFERROR(INDEX(CAPABILITIES!$D$7:$D$15,MATCH(PLAY!$F10,CAPABILITIES!$A$7:$A$15,0))*INDEX(CAPABILITIES!$I$7:$I$15,MATCH(PLAY!$F10,CAPABILITIES!$A$7:$A$15,0)),0)</f>
        <v>0</v>
      </c>
      <c r="U10" s="13" t="n">
        <f aca="false">IFERROR(INDEX(CAPABILITIES!$E$7:$E$15,MATCH(PLAY!$F10,CAPABILITIES!$A$7:$A$15,0))+INDEX(CAPABILITIES!$J$7:$J$15,MATCH(PLAY!$F10,CAPABILITIES!$A$7:$A$15,0)),0)</f>
        <v>0</v>
      </c>
      <c r="V10" s="13" t="n">
        <f aca="false">IFERROR(INDEX(CAPABILITIES!$L$7:$L$15,MATCH(PLAY!$F10,CAPABILITIES!$A$7:$A$15,0)),0)</f>
        <v>0</v>
      </c>
      <c r="W10" s="28" t="n">
        <f aca="false">CLIMATE!D10+SUMPRODUCT(($D$8:$D$9="ENSO")*($F$8:$F$9+$A$8:$A$9=$A10)*$E$8:$E$9)+SUMPRODUCT(($I$8:$I$9="ENSO")*($K$8:$K$9+$A$8:$A$9=$A10)*$J$8:$J$9)+SUMPRODUCT(($N$8:$N$9="ENSO")*($P$8:$P$9+$A$8:$A$9=$A10)*$O$8:$O$9)+SUMPRODUCT(($S$8:$S$9="ENSO")*($U$8:$U$9+$A$8:$A$9=$A10)*$T$8:$T$9)</f>
        <v>0.675</v>
      </c>
      <c r="X10" s="28" t="n">
        <f aca="false">CLIMATE!E10+SUMPRODUCT(($D$8:$D$9="IOD")*($F$8:$F$9+$A$8:$A$9=$A10)*$E$8:$E$9)+SUMPRODUCT(($I$8:$I$9="IOD")*($K$8:$K$9+$A$8:$A$9=$A10)*$J$8:$J$9)+SUMPRODUCT(($N$8:$N$9="IOD")*($P$8:$P$9+$A$8:$A$9=$A10)*$O$8:$O$9)+SUMPRODUCT(($S$8:$S$9="IOD")*($U$8:$U$9+$A$8:$A$9=$A10)*$T$8:$T$9)</f>
        <v>-0.667</v>
      </c>
      <c r="Y10" s="28" t="n">
        <f aca="false">CLIMATE!F10+SUMPRODUCT(($D$8:$D$9="NATL")*($F$8:$F$9+$A$8:$A$9=$A10)*$E$8:$E$9)+SUMPRODUCT(($I$8:$I$9="NATL")*($K$8:$K$9+$A$8:$A$9=$A10)*$J$8:$J$9)+SUMPRODUCT(($N$8:$N$9="NATL")*($P$8:$P$9+$A$8:$A$9=$A10)*$O$8:$O$9)+SUMPRODUCT(($S$8:$S$9="NATL")*($U$8:$U$9+$A$8:$A$9=$A10)*$T$8:$T$9)</f>
        <v>0.024</v>
      </c>
      <c r="Z10" s="28" t="n">
        <f aca="false">CLIMATE!G10+SUMPRODUCT(($D$8:$D$9="GLOBAL")*($F$8:$F$9+$A$8:$A$9=$A10)*$E$8:$E$9)+SUMPRODUCT(($I$8:$I$9="GLOBAL")*($K$8:$K$9+$A$8:$A$9=$A10)*$J$8:$J$9)+SUMPRODUCT(($N$8:$N$9="GLOBAL")*($P$8:$P$9+$A$8:$A$9=$A10)*$O$8:$O$9)+SUMPRODUCT(($S$8:$S$9="GLOBAL")*($U$8:$U$9+$A$8:$A$9=$A10)*$T$8:$T$9)</f>
        <v>0</v>
      </c>
      <c r="AA10" s="28" t="n">
        <f aca="false">CLIMATE!H10+IFERROR(INDEX($W$8:$W$47,$A10-GRAPH!B17),0)*GRAPH!B9+IFERROR(INDEX($X$8:$X$47,$A10-GRAPH!B18),0)*GRAPH!B10+IFERROR(INDEX($Y$8:$Y$47,$A10-GRAPH!B19),0)*GRAPH!B11+IFERROR(INDEX($Z$8:$Z$47,$A10-GRAPH!B20),0)*GRAPH!B12+SUMPRODUCT(($D$8:$D$9=REGIONS!$B$7)*($F$8:$F$9+$A$8:$A$9=$A10)*$E$8:$E$9)+SUMPRODUCT(($N$8:$N$9=REGIONS!$B$7)*($P$8:$P$9+$A$8:$A$9=$A10)*$O$8:$O$9)</f>
        <v>0.5059</v>
      </c>
      <c r="AB10" s="28" t="n">
        <f aca="false">CLIMATE!I10+IFERROR(INDEX($W$8:$W$47,$A10-GRAPH!C17),0)*GRAPH!C9+IFERROR(INDEX($X$8:$X$47,$A10-GRAPH!C18),0)*GRAPH!C10+IFERROR(INDEX($Y$8:$Y$47,$A10-GRAPH!C19),0)*GRAPH!C11+IFERROR(INDEX($Z$8:$Z$47,$A10-GRAPH!C20),0)*GRAPH!C12+SUMPRODUCT(($D$8:$D$9=REGIONS!$B$8)*($F$8:$F$9+$A$8:$A$9=$A10)*$E$8:$E$9)+SUMPRODUCT(($N$8:$N$9=REGIONS!$B$8)*($P$8:$P$9+$A$8:$A$9=$A10)*$O$8:$O$9)</f>
        <v>0.2117</v>
      </c>
      <c r="AC10" s="28" t="n">
        <f aca="false">CLIMATE!J10+IFERROR(INDEX($W$8:$W$47,$A10-GRAPH!D17),0)*GRAPH!D9+IFERROR(INDEX($X$8:$X$47,$A10-GRAPH!D18),0)*GRAPH!D10+IFERROR(INDEX($Y$8:$Y$47,$A10-GRAPH!D19),0)*GRAPH!D11+IFERROR(INDEX($Z$8:$Z$47,$A10-GRAPH!D20),0)*GRAPH!D12+SUMPRODUCT(($D$8:$D$9=REGIONS!$B$9)*($F$8:$F$9+$A$8:$A$9=$A10)*$E$8:$E$9)+SUMPRODUCT(($N$8:$N$9=REGIONS!$B$9)*($P$8:$P$9+$A$8:$A$9=$A10)*$O$8:$O$9)</f>
        <v>0.8855</v>
      </c>
      <c r="AD10" s="28" t="n">
        <f aca="false">CLIMATE!K10+IFERROR(INDEX($W$8:$W$47,$A10-GRAPH!E17),0)*GRAPH!E9+IFERROR(INDEX($X$8:$X$47,$A10-GRAPH!E18),0)*GRAPH!E10+IFERROR(INDEX($Y$8:$Y$47,$A10-GRAPH!E19),0)*GRAPH!E11+IFERROR(INDEX($Z$8:$Z$47,$A10-GRAPH!E20),0)*GRAPH!E12+SUMPRODUCT(($D$8:$D$9=REGIONS!$B$10)*($F$8:$F$9+$A$8:$A$9=$A10)*$E$8:$E$9)+SUMPRODUCT(($N$8:$N$9=REGIONS!$B$10)*($P$8:$P$9+$A$8:$A$9=$A10)*$O$8:$O$9)</f>
        <v>-0.3318</v>
      </c>
      <c r="AE10" s="28" t="n">
        <f aca="false">CLIMATE!L10+IFERROR(INDEX($W$8:$W$47,$A10-GRAPH!F17),0)*GRAPH!F9+IFERROR(INDEX($X$8:$X$47,$A10-GRAPH!F18),0)*GRAPH!F10+IFERROR(INDEX($Y$8:$Y$47,$A10-GRAPH!F19),0)*GRAPH!F11+IFERROR(INDEX($Z$8:$Z$47,$A10-GRAPH!F20),0)*GRAPH!F12+SUMPRODUCT(($D$8:$D$9=REGIONS!$B$11)*($F$8:$F$9+$A$8:$A$9=$A10)*$E$8:$E$9)+SUMPRODUCT(($N$8:$N$9=REGIONS!$B$11)*($P$8:$P$9+$A$8:$A$9=$A10)*$O$8:$O$9)</f>
        <v>-0.6834</v>
      </c>
      <c r="AF10" s="28" t="n">
        <f aca="false">CLIMATE!M10+IFERROR(INDEX($W$8:$W$47,$A10-GRAPH!G17),0)*GRAPH!G9+IFERROR(INDEX($X$8:$X$47,$A10-GRAPH!G18),0)*GRAPH!G10+IFERROR(INDEX($Y$8:$Y$47,$A10-GRAPH!G19),0)*GRAPH!G11+IFERROR(INDEX($Z$8:$Z$47,$A10-GRAPH!G20),0)*GRAPH!G12+SUMPRODUCT(($D$8:$D$9=REGIONS!$B$12)*($F$8:$F$9+$A$8:$A$9=$A10)*$E$8:$E$9)+SUMPRODUCT(($N$8:$N$9=REGIONS!$B$12)*($P$8:$P$9+$A$8:$A$9=$A10)*$O$8:$O$9)</f>
        <v>-1.4706</v>
      </c>
      <c r="AG10" s="28" t="n">
        <f aca="false">CLIMATE!N10+IFERROR(INDEX($W$8:$W$47,$A10-GRAPH!H17),0)*GRAPH!H9+IFERROR(INDEX($X$8:$X$47,$A10-GRAPH!H18),0)*GRAPH!H10+IFERROR(INDEX($Y$8:$Y$47,$A10-GRAPH!H19),0)*GRAPH!H11+IFERROR(INDEX($Z$8:$Z$47,$A10-GRAPH!H20),0)*GRAPH!H12+SUMPRODUCT(($D$8:$D$9=REGIONS!$B$13)*($F$8:$F$9+$A$8:$A$9=$A10)*$E$8:$E$9)+SUMPRODUCT(($N$8:$N$9=REGIONS!$B$13)*($P$8:$P$9+$A$8:$A$9=$A10)*$O$8:$O$9)</f>
        <v>-0.5555</v>
      </c>
      <c r="AH10" s="28" t="n">
        <f aca="false">CLIMATE!O10+IFERROR(INDEX($W$8:$W$47,$A10-GRAPH!I17),0)*GRAPH!I9+IFERROR(INDEX($X$8:$X$47,$A10-GRAPH!I18),0)*GRAPH!I10+IFERROR(INDEX($Y$8:$Y$47,$A10-GRAPH!I19),0)*GRAPH!I11+IFERROR(INDEX($Z$8:$Z$47,$A10-GRAPH!I20),0)*GRAPH!I12+SUMPRODUCT(($D$8:$D$9=REGIONS!$B$14)*($F$8:$F$9+$A$8:$A$9=$A10)*$E$8:$E$9)+SUMPRODUCT(($N$8:$N$9=REGIONS!$B$14)*($P$8:$P$9+$A$8:$A$9=$A10)*$O$8:$O$9)</f>
        <v>0.5022</v>
      </c>
      <c r="AI10" s="28" t="n">
        <f aca="false">REGIONS!$F$7*(1+ASSUMPTIONS!$B$19*$A10)</f>
        <v>0.8144</v>
      </c>
      <c r="AJ10" s="28" t="n">
        <f aca="false">REGIONS!$F$8*(1+ASSUMPTIONS!$B$19*$A10)</f>
        <v>0.9162</v>
      </c>
      <c r="AK10" s="28" t="n">
        <f aca="false">REGIONS!$F$9*(1+ASSUMPTIONS!$B$19*$A10)</f>
        <v>0.9162</v>
      </c>
      <c r="AL10" s="28" t="n">
        <f aca="false">REGIONS!$F$10*(1+ASSUMPTIONS!$B$19*$A10)</f>
        <v>0.7126</v>
      </c>
      <c r="AM10" s="28" t="n">
        <f aca="false">REGIONS!$F$11*(1+ASSUMPTIONS!$B$19*$A10)</f>
        <v>0.7126</v>
      </c>
      <c r="AN10" s="28" t="n">
        <f aca="false">REGIONS!$F$12*(1+ASSUMPTIONS!$B$19*$A10)</f>
        <v>1.1198</v>
      </c>
      <c r="AO10" s="28" t="n">
        <f aca="false">REGIONS!$F$13*(1+ASSUMPTIONS!$B$19*$A10)</f>
        <v>1.2216</v>
      </c>
      <c r="AP10" s="28" t="n">
        <f aca="false">REGIONS!$F$14*(1+ASSUMPTIONS!$B$19*$A10)</f>
        <v>1.2216</v>
      </c>
      <c r="AQ10" s="11" t="n">
        <f aca="false">SUMPRODUCT(($D$8:$D$47=REGIONS!$B$7)*($A$8:$A$47&lt;=$A10)*$L$8:$L$47)+SUMPRODUCT(($N$8:$N$47=REGIONS!$B$7)*($A$8:$A$47&lt;=$A10)*$V$8:$V$47)</f>
        <v>0</v>
      </c>
      <c r="AR10" s="11" t="n">
        <f aca="false">SUMPRODUCT(($D$8:$D$47=REGIONS!$B$8)*($A$8:$A$47&lt;=$A10)*$L$8:$L$47)+SUMPRODUCT(($N$8:$N$47=REGIONS!$B$8)*($A$8:$A$47&lt;=$A10)*$V$8:$V$47)</f>
        <v>0</v>
      </c>
      <c r="AS10" s="11" t="n">
        <f aca="false">SUMPRODUCT(($D$8:$D$47=REGIONS!$B$9)*($A$8:$A$47&lt;=$A10)*$L$8:$L$47)+SUMPRODUCT(($N$8:$N$47=REGIONS!$B$9)*($A$8:$A$47&lt;=$A10)*$V$8:$V$47)</f>
        <v>0</v>
      </c>
      <c r="AT10" s="11" t="n">
        <f aca="false">SUMPRODUCT(($D$8:$D$47=REGIONS!$B$10)*($A$8:$A$47&lt;=$A10)*$L$8:$L$47)+SUMPRODUCT(($N$8:$N$47=REGIONS!$B$10)*($A$8:$A$47&lt;=$A10)*$V$8:$V$47)</f>
        <v>0</v>
      </c>
      <c r="AU10" s="11" t="n">
        <f aca="false">SUMPRODUCT(($D$8:$D$47=REGIONS!$B$11)*($A$8:$A$47&lt;=$A10)*$L$8:$L$47)+SUMPRODUCT(($N$8:$N$47=REGIONS!$B$11)*($A$8:$A$47&lt;=$A10)*$V$8:$V$47)</f>
        <v>0</v>
      </c>
      <c r="AV10" s="11" t="n">
        <f aca="false">SUMPRODUCT(($D$8:$D$47=REGIONS!$B$12)*($A$8:$A$47&lt;=$A10)*$L$8:$L$47)+SUMPRODUCT(($N$8:$N$47=REGIONS!$B$12)*($A$8:$A$47&lt;=$A10)*$V$8:$V$47)</f>
        <v>0</v>
      </c>
      <c r="AW10" s="11" t="n">
        <f aca="false">SUMPRODUCT(($D$8:$D$47=REGIONS!$B$13)*($A$8:$A$47&lt;=$A10)*$L$8:$L$47)+SUMPRODUCT(($N$8:$N$47=REGIONS!$B$13)*($A$8:$A$47&lt;=$A10)*$V$8:$V$47)</f>
        <v>0</v>
      </c>
      <c r="AX10" s="11" t="n">
        <f aca="false">SUMPRODUCT(($D$8:$D$47=REGIONS!$B$14)*($A$8:$A$47&lt;=$A10)*$L$8:$L$47)+SUMPRODUCT(($N$8:$N$47=REGIONS!$B$14)*($A$8:$A$47&lt;=$A10)*$V$8:$V$47)</f>
        <v>0</v>
      </c>
      <c r="AY10" s="12" t="n">
        <f aca="false">MAX(0,MIN(135,100-(MAX(0,-$AA10)*REGIONS!$E$7*ASSUMPTIONS!$B$7+MAX(0,$AA10-ASSUMPTIONS!$B$9)*REGIONS!$E$7*ASSUMPTIONS!$B$8)*(1-$AQ10/100)))</f>
        <v>100</v>
      </c>
      <c r="AZ10" s="12" t="n">
        <f aca="false">MAX(0,MIN(135,100-(MAX(0,-$AB10)*REGIONS!$E$8*ASSUMPTIONS!$B$7+MAX(0,$AB10-ASSUMPTIONS!$B$9)*REGIONS!$E$8*ASSUMPTIONS!$B$8)*(1-$AR10/100)))</f>
        <v>100</v>
      </c>
      <c r="BA10" s="12" t="n">
        <f aca="false">MAX(0,MIN(135,100-(MAX(0,-$AC10)*REGIONS!$E$9*ASSUMPTIONS!$B$7+MAX(0,$AC10-ASSUMPTIONS!$B$9)*REGIONS!$E$9*ASSUMPTIONS!$B$8)*(1-$AS10/100)))</f>
        <v>100</v>
      </c>
      <c r="BB10" s="12" t="n">
        <f aca="false">MAX(0,MIN(135,100-(MAX(0,-$AD10)*REGIONS!$E$10*ASSUMPTIONS!$B$7+MAX(0,$AD10-ASSUMPTIONS!$B$9)*REGIONS!$E$10*ASSUMPTIONS!$B$8)*(1-$AT10/100)))</f>
        <v>94.42576</v>
      </c>
      <c r="BC10" s="12" t="n">
        <f aca="false">MAX(0,MIN(135,100-(MAX(0,-$AE10)*REGIONS!$E$11*ASSUMPTIONS!$B$7+MAX(0,$AE10-ASSUMPTIONS!$B$9)*REGIONS!$E$11*ASSUMPTIONS!$B$8)*(1-$AU10/100)))</f>
        <v>89.47564</v>
      </c>
      <c r="BD10" s="12" t="n">
        <f aca="false">MAX(0,MIN(135,100-(MAX(0,-$AF10)*REGIONS!$E$12*ASSUMPTIONS!$B$7+MAX(0,$AF10-ASSUMPTIONS!$B$9)*REGIONS!$E$12*ASSUMPTIONS!$B$8)*(1-$AV10/100)))</f>
        <v>73.23508</v>
      </c>
      <c r="BE10" s="12" t="n">
        <f aca="false">MAX(0,MIN(135,100-(MAX(0,-$AG10)*REGIONS!$E$13*ASSUMPTIONS!$B$7+MAX(0,$AG10-ASSUMPTIONS!$B$9)*REGIONS!$E$13*ASSUMPTIONS!$B$8)*(1-$AW10/100)))</f>
        <v>89.1122</v>
      </c>
      <c r="BF10" s="12" t="n">
        <f aca="false">MAX(0,MIN(135,100-(MAX(0,-$AH10)*REGIONS!$E$14*ASSUMPTIONS!$B$7+MAX(0,$AH10-ASSUMPTIONS!$B$9)*REGIONS!$E$14*ASSUMPTIONS!$B$8)*(1-$AX10/100)))</f>
        <v>100</v>
      </c>
      <c r="BG10" s="12" t="n">
        <f aca="false">$AY10*REGIONS!$D$7/100+$AZ10*REGIONS!$D$8/100+$BA10*REGIONS!$D$9/100+$BB10*REGIONS!$D$10/100+$BC10*REGIONS!$D$11/100+$BD10*REGIONS!$D$12/100+$BE10*REGIONS!$D$13/100+$BF10*REGIONS!$D$14/100</f>
        <v>95.2069012</v>
      </c>
      <c r="BH10" s="12" t="n">
        <f aca="false">100*(100/MAX(1,$BG10))^ASSUMPTIONS!$B$10</f>
        <v>109.243806947205</v>
      </c>
      <c r="BI10" s="12" t="n">
        <f aca="false">$AY10*$BH10/100*ASSUMPTIONS!$B$11</f>
        <v>92.8572359051246</v>
      </c>
      <c r="BJ10" s="28" t="n">
        <f aca="false">MAX(0,ABS($AA10)-$AI10*ASSUMPTIONS!$B$24)*REGIONS!$D$7/100+MAX(0,ABS($AB10)-$AJ10*ASSUMPTIONS!$B$24)*REGIONS!$D$8/100+MAX(0,ABS($AC10)-$AK10*ASSUMPTIONS!$B$24)*REGIONS!$D$9/100+MAX(0,ABS($AD10)-$AL10*ASSUMPTIONS!$B$24)*REGIONS!$D$10/100+MAX(0,ABS($AE10)-$AM10*ASSUMPTIONS!$B$24)*REGIONS!$D$11/100+MAX(0,ABS($AF10)-$AN10*ASSUMPTIONS!$B$24)*REGIONS!$D$12/100+MAX(0,ABS($AG10)-$AO10*ASSUMPTIONS!$B$24)*REGIONS!$D$13/100+MAX(0,ABS($AH10)-$AP10*ASSUMPTIONS!$B$24)*REGIONS!$D$14/100</f>
        <v>0.091779</v>
      </c>
      <c r="BK10" s="12" t="n">
        <f aca="false">MIN(ASSUMPTIONS!$B$14,ASSUMPTIONS!$B$12+$BJ10*ASSUMPTIONS!$B$13)</f>
        <v>31.854718</v>
      </c>
      <c r="BL10" s="11" t="n">
        <f aca="false">$H10+$R10</f>
        <v>0</v>
      </c>
      <c r="BM10" s="11" t="n">
        <f aca="false">PLAY!$H10</f>
        <v>0</v>
      </c>
      <c r="BN10" s="12" t="n">
        <f aca="false">$BI10*ASSUMPTIONS!$B$15+$BK10*ASSUMPTIONS!$B$16</f>
        <v>39.812114508615</v>
      </c>
      <c r="BO10" s="12" t="n">
        <f aca="false">$BO9+$BN10-$BL10-$BM10-ASSUMPTIONS!$B$23</f>
        <v>106.645582922334</v>
      </c>
      <c r="BP10" s="12" t="n">
        <f aca="false">(SUMPRODUCT(($F$8:$F$9+$A$8:$A$9=$A10)*($C$8:$C$9&lt;&gt;"NONE")*$G$8:$G$9)+SUMPRODUCT(($P$8:$P$9+$A$8:$A$9=$A10)*($M$8:$M$9&lt;&gt;"NONE")*$Q$8:$Q$9))*(1+ASSUMPTIONS!$B$22*(MAX(0,ABS($AA10)/$AI10-1)+MAX(0,ABS($AB10)/$AJ10-1)+MAX(0,ABS($AC10)/$AK10-1)+MAX(0,ABS($AD10)/$AL10-1)+MAX(0,ABS($AE10)/$AM10-1)+MAX(0,ABS($AF10)/$AN10-1)+MAX(0,ABS($AG10)/$AO10-1)+MAX(0,ABS($AH10)/$AP10-1))/8)</f>
        <v>0</v>
      </c>
      <c r="BQ10" s="12" t="n">
        <f aca="false">MAX(0,$BQ9*(1-ASSUMPTIONS!$B$18)+$BP10-$BM10*ASSUMPTIONS!$B$17)</f>
        <v>2.02754766182434</v>
      </c>
    </row>
    <row r="11" customFormat="false" ht="15" hidden="false" customHeight="false" outlineLevel="0" collapsed="false">
      <c r="A11" s="13" t="n">
        <v>4</v>
      </c>
      <c r="B11" s="11" t="n">
        <f aca="false">CLIMATE!B11</f>
        <v>1946</v>
      </c>
      <c r="C11" s="13" t="str">
        <f aca="false">IFERROR(INDEX(CAPABILITIES!$B$7:$B$15,MATCH(PLAY!$D11,CAPABILITIES!$A$7:$A$15,0)),"NONE")</f>
        <v>NONE</v>
      </c>
      <c r="D11" s="13" t="n">
        <f aca="false">IFERROR(IF(INDEX(CAPABILITIES!$B$7:$B$15,MATCH(PLAY!$D11,CAPABILITIES!$A$7:$A$15,0))="DRIVER",INDEX(CAPABILITIES!$C$7:$C$15,MATCH(PLAY!$D11,CAPABILITIES!$A$7:$A$15,0)),PLAY!$E11),"")</f>
        <v>0</v>
      </c>
      <c r="E11" s="13" t="n">
        <f aca="false">IFERROR(INDEX(CAPABILITIES!$D$7:$D$15,MATCH(PLAY!$D11,CAPABILITIES!$A$7:$A$15,0))*IF(INDEX(CAPABILITIES!$K$7:$K$15,MATCH(PLAY!$D11,CAPABILITIES!$A$7:$A$15,0))="Y",IF(IFERROR(INDEX($AA10:$AH10,MATCH(PLAY!$E11,REGIONS!$B$7:$B$14,0)),0)&lt;ASSUMPTIONS!$B$20,1,ASSUMPTIONS!$B$21),1),0)</f>
        <v>0</v>
      </c>
      <c r="F11" s="13" t="n">
        <f aca="false">IFERROR(INDEX(CAPABILITIES!$E$7:$E$15,MATCH(PLAY!$D11,CAPABILITIES!$A$7:$A$15,0)),0)</f>
        <v>0</v>
      </c>
      <c r="G11" s="13" t="n">
        <f aca="false">IFERROR(INDEX(CAPABILITIES!$F$7:$F$15,MATCH(PLAY!$D11,CAPABILITIES!$A$7:$A$15,0)),0)</f>
        <v>0</v>
      </c>
      <c r="H11" s="13" t="n">
        <f aca="false">IFERROR(INDEX(CAPABILITIES!$G$7:$G$15,MATCH(PLAY!$D11,CAPABILITIES!$A$7:$A$15,0)),0)</f>
        <v>0</v>
      </c>
      <c r="I11" s="13" t="n">
        <f aca="false">IFERROR(INDEX(CAPABILITIES!$H$7:$H$15,MATCH(PLAY!$D11,CAPABILITIES!$A$7:$A$15,0)),"")</f>
        <v>0</v>
      </c>
      <c r="J11" s="13" t="n">
        <f aca="false">IFERROR(INDEX(CAPABILITIES!$D$7:$D$15,MATCH(PLAY!$D11,CAPABILITIES!$A$7:$A$15,0))*INDEX(CAPABILITIES!$I$7:$I$15,MATCH(PLAY!$D11,CAPABILITIES!$A$7:$A$15,0)),0)</f>
        <v>0</v>
      </c>
      <c r="K11" s="13" t="n">
        <f aca="false">IFERROR(INDEX(CAPABILITIES!$E$7:$E$15,MATCH(PLAY!$D11,CAPABILITIES!$A$7:$A$15,0))+INDEX(CAPABILITIES!$J$7:$J$15,MATCH(PLAY!$D11,CAPABILITIES!$A$7:$A$15,0)),0)</f>
        <v>0</v>
      </c>
      <c r="L11" s="13" t="n">
        <f aca="false">IFERROR(INDEX(CAPABILITIES!$L$7:$L$15,MATCH(PLAY!$D11,CAPABILITIES!$A$7:$A$15,0)),0)</f>
        <v>0</v>
      </c>
      <c r="M11" s="13" t="str">
        <f aca="false">IFERROR(INDEX(CAPABILITIES!$B$7:$B$15,MATCH(PLAY!$F11,CAPABILITIES!$A$7:$A$15,0)),"NONE")</f>
        <v>NONE</v>
      </c>
      <c r="N11" s="13" t="n">
        <f aca="false">IFERROR(IF(INDEX(CAPABILITIES!$B$7:$B$15,MATCH(PLAY!$F11,CAPABILITIES!$A$7:$A$15,0))="DRIVER",INDEX(CAPABILITIES!$C$7:$C$15,MATCH(PLAY!$F11,CAPABILITIES!$A$7:$A$15,0)),PLAY!$G11),"")</f>
        <v>0</v>
      </c>
      <c r="O11" s="13" t="n">
        <f aca="false">IFERROR(INDEX(CAPABILITIES!$D$7:$D$15,MATCH(PLAY!$F11,CAPABILITIES!$A$7:$A$15,0))*IF(INDEX(CAPABILITIES!$K$7:$K$15,MATCH(PLAY!$F11,CAPABILITIES!$A$7:$A$15,0))="Y",IF(IFERROR(INDEX($AA10:$AH10,MATCH(PLAY!$G11,REGIONS!$B$7:$B$14,0)),0)&lt;ASSUMPTIONS!$B$20,1,ASSUMPTIONS!$B$21),1),0)</f>
        <v>0</v>
      </c>
      <c r="P11" s="13" t="n">
        <f aca="false">IFERROR(INDEX(CAPABILITIES!$E$7:$E$15,MATCH(PLAY!$F11,CAPABILITIES!$A$7:$A$15,0)),0)</f>
        <v>0</v>
      </c>
      <c r="Q11" s="13" t="n">
        <f aca="false">IFERROR(INDEX(CAPABILITIES!$F$7:$F$15,MATCH(PLAY!$F11,CAPABILITIES!$A$7:$A$15,0)),0)</f>
        <v>0</v>
      </c>
      <c r="R11" s="13" t="n">
        <f aca="false">IFERROR(INDEX(CAPABILITIES!$G$7:$G$15,MATCH(PLAY!$F11,CAPABILITIES!$A$7:$A$15,0)),0)</f>
        <v>0</v>
      </c>
      <c r="S11" s="13" t="n">
        <f aca="false">IFERROR(INDEX(CAPABILITIES!$H$7:$H$15,MATCH(PLAY!$F11,CAPABILITIES!$A$7:$A$15,0)),"")</f>
        <v>0</v>
      </c>
      <c r="T11" s="13" t="n">
        <f aca="false">IFERROR(INDEX(CAPABILITIES!$D$7:$D$15,MATCH(PLAY!$F11,CAPABILITIES!$A$7:$A$15,0))*INDEX(CAPABILITIES!$I$7:$I$15,MATCH(PLAY!$F11,CAPABILITIES!$A$7:$A$15,0)),0)</f>
        <v>0</v>
      </c>
      <c r="U11" s="13" t="n">
        <f aca="false">IFERROR(INDEX(CAPABILITIES!$E$7:$E$15,MATCH(PLAY!$F11,CAPABILITIES!$A$7:$A$15,0))+INDEX(CAPABILITIES!$J$7:$J$15,MATCH(PLAY!$F11,CAPABILITIES!$A$7:$A$15,0)),0)</f>
        <v>0</v>
      </c>
      <c r="V11" s="13" t="n">
        <f aca="false">IFERROR(INDEX(CAPABILITIES!$L$7:$L$15,MATCH(PLAY!$F11,CAPABILITIES!$A$7:$A$15,0)),0)</f>
        <v>0</v>
      </c>
      <c r="W11" s="28" t="n">
        <f aca="false">CLIMATE!D11+SUMPRODUCT(($D$8:$D$10="ENSO")*($F$8:$F$10+$A$8:$A$10=$A11)*$E$8:$E$10)+SUMPRODUCT(($I$8:$I$10="ENSO")*($K$8:$K$10+$A$8:$A$10=$A11)*$J$8:$J$10)+SUMPRODUCT(($N$8:$N$10="ENSO")*($P$8:$P$10+$A$8:$A$10=$A11)*$O$8:$O$10)+SUMPRODUCT(($S$8:$S$10="ENSO")*($U$8:$U$10+$A$8:$A$10=$A11)*$T$8:$T$10)</f>
        <v>0.489</v>
      </c>
      <c r="X11" s="28" t="n">
        <f aca="false">CLIMATE!E11+SUMPRODUCT(($D$8:$D$10="IOD")*($F$8:$F$10+$A$8:$A$10=$A11)*$E$8:$E$10)+SUMPRODUCT(($I$8:$I$10="IOD")*($K$8:$K$10+$A$8:$A$10=$A11)*$J$8:$J$10)+SUMPRODUCT(($N$8:$N$10="IOD")*($P$8:$P$10+$A$8:$A$10=$A11)*$O$8:$O$10)+SUMPRODUCT(($S$8:$S$10="IOD")*($U$8:$U$10+$A$8:$A$10=$A11)*$T$8:$T$10)</f>
        <v>-1.236</v>
      </c>
      <c r="Y11" s="28" t="n">
        <f aca="false">CLIMATE!F11+SUMPRODUCT(($D$8:$D$10="NATL")*($F$8:$F$10+$A$8:$A$10=$A11)*$E$8:$E$10)+SUMPRODUCT(($I$8:$I$10="NATL")*($K$8:$K$10+$A$8:$A$10=$A11)*$J$8:$J$10)+SUMPRODUCT(($N$8:$N$10="NATL")*($P$8:$P$10+$A$8:$A$10=$A11)*$O$8:$O$10)+SUMPRODUCT(($S$8:$S$10="NATL")*($U$8:$U$10+$A$8:$A$10=$A11)*$T$8:$T$10)</f>
        <v>0.309</v>
      </c>
      <c r="Z11" s="28" t="n">
        <f aca="false">CLIMATE!G11+SUMPRODUCT(($D$8:$D$10="GLOBAL")*($F$8:$F$10+$A$8:$A$10=$A11)*$E$8:$E$10)+SUMPRODUCT(($I$8:$I$10="GLOBAL")*($K$8:$K$10+$A$8:$A$10=$A11)*$J$8:$J$10)+SUMPRODUCT(($N$8:$N$10="GLOBAL")*($P$8:$P$10+$A$8:$A$10=$A11)*$O$8:$O$10)+SUMPRODUCT(($S$8:$S$10="GLOBAL")*($U$8:$U$10+$A$8:$A$10=$A11)*$T$8:$T$10)</f>
        <v>0</v>
      </c>
      <c r="AA11" s="28" t="n">
        <f aca="false">CLIMATE!H11+IFERROR(INDEX($W$8:$W$47,$A11-GRAPH!B17),0)*GRAPH!B9+IFERROR(INDEX($X$8:$X$47,$A11-GRAPH!B18),0)*GRAPH!B10+IFERROR(INDEX($Y$8:$Y$47,$A11-GRAPH!B19),0)*GRAPH!B11+IFERROR(INDEX($Z$8:$Z$47,$A11-GRAPH!B20),0)*GRAPH!B12+SUMPRODUCT(($D$8:$D$10=REGIONS!$B$7)*($F$8:$F$10+$A$8:$A$10=$A11)*$E$8:$E$10)+SUMPRODUCT(($N$8:$N$10=REGIONS!$B$7)*($P$8:$P$10+$A$8:$A$10=$A11)*$O$8:$O$10)</f>
        <v>0.3064</v>
      </c>
      <c r="AB11" s="28" t="n">
        <f aca="false">CLIMATE!I11+IFERROR(INDEX($W$8:$W$47,$A11-GRAPH!C17),0)*GRAPH!C9+IFERROR(INDEX($X$8:$X$47,$A11-GRAPH!C18),0)*GRAPH!C10+IFERROR(INDEX($Y$8:$Y$47,$A11-GRAPH!C19),0)*GRAPH!C11+IFERROR(INDEX($Z$8:$Z$47,$A11-GRAPH!C20),0)*GRAPH!C12+SUMPRODUCT(($D$8:$D$10=REGIONS!$B$8)*($F$8:$F$10+$A$8:$A$10=$A11)*$E$8:$E$10)+SUMPRODUCT(($N$8:$N$10=REGIONS!$B$8)*($P$8:$P$10+$A$8:$A$10=$A11)*$O$8:$O$10)</f>
        <v>-0.3707</v>
      </c>
      <c r="AC11" s="28" t="n">
        <f aca="false">CLIMATE!J11+IFERROR(INDEX($W$8:$W$47,$A11-GRAPH!D17),0)*GRAPH!D9+IFERROR(INDEX($X$8:$X$47,$A11-GRAPH!D18),0)*GRAPH!D10+IFERROR(INDEX($Y$8:$Y$47,$A11-GRAPH!D19),0)*GRAPH!D11+IFERROR(INDEX($Z$8:$Z$47,$A11-GRAPH!D20),0)*GRAPH!D12+SUMPRODUCT(($D$8:$D$10=REGIONS!$B$9)*($F$8:$F$10+$A$8:$A$10=$A11)*$E$8:$E$10)+SUMPRODUCT(($N$8:$N$10=REGIONS!$B$9)*($P$8:$P$10+$A$8:$A$10=$A11)*$O$8:$O$10)</f>
        <v>0.627</v>
      </c>
      <c r="AD11" s="28" t="n">
        <f aca="false">CLIMATE!K11+IFERROR(INDEX($W$8:$W$47,$A11-GRAPH!E17),0)*GRAPH!E9+IFERROR(INDEX($X$8:$X$47,$A11-GRAPH!E18),0)*GRAPH!E10+IFERROR(INDEX($Y$8:$Y$47,$A11-GRAPH!E19),0)*GRAPH!E11+IFERROR(INDEX($Z$8:$Z$47,$A11-GRAPH!E20),0)*GRAPH!E12+SUMPRODUCT(($D$8:$D$10=REGIONS!$B$10)*($F$8:$F$10+$A$8:$A$10=$A11)*$E$8:$E$10)+SUMPRODUCT(($N$8:$N$10=REGIONS!$B$10)*($P$8:$P$10+$A$8:$A$10=$A11)*$O$8:$O$10)</f>
        <v>-0.7368</v>
      </c>
      <c r="AE11" s="28" t="n">
        <f aca="false">CLIMATE!L11+IFERROR(INDEX($W$8:$W$47,$A11-GRAPH!F17),0)*GRAPH!F9+IFERROR(INDEX($X$8:$X$47,$A11-GRAPH!F18),0)*GRAPH!F10+IFERROR(INDEX($Y$8:$Y$47,$A11-GRAPH!F19),0)*GRAPH!F11+IFERROR(INDEX($Z$8:$Z$47,$A11-GRAPH!F20),0)*GRAPH!F12+SUMPRODUCT(($D$8:$D$10=REGIONS!$B$11)*($F$8:$F$10+$A$8:$A$10=$A11)*$E$8:$E$10)+SUMPRODUCT(($N$8:$N$10=REGIONS!$B$11)*($P$8:$P$10+$A$8:$A$10=$A11)*$O$8:$O$10)</f>
        <v>-0.2841</v>
      </c>
      <c r="AF11" s="28" t="n">
        <f aca="false">CLIMATE!M11+IFERROR(INDEX($W$8:$W$47,$A11-GRAPH!G17),0)*GRAPH!G9+IFERROR(INDEX($X$8:$X$47,$A11-GRAPH!G18),0)*GRAPH!G10+IFERROR(INDEX($Y$8:$Y$47,$A11-GRAPH!G19),0)*GRAPH!G11+IFERROR(INDEX($Z$8:$Z$47,$A11-GRAPH!G20),0)*GRAPH!G12+SUMPRODUCT(($D$8:$D$10=REGIONS!$B$12)*($F$8:$F$10+$A$8:$A$10=$A11)*$E$8:$E$10)+SUMPRODUCT(($N$8:$N$10=REGIONS!$B$12)*($P$8:$P$10+$A$8:$A$10=$A11)*$O$8:$O$10)</f>
        <v>-0.3703</v>
      </c>
      <c r="AG11" s="28" t="n">
        <f aca="false">CLIMATE!N11+IFERROR(INDEX($W$8:$W$47,$A11-GRAPH!H17),0)*GRAPH!H9+IFERROR(INDEX($X$8:$X$47,$A11-GRAPH!H18),0)*GRAPH!H10+IFERROR(INDEX($Y$8:$Y$47,$A11-GRAPH!H19),0)*GRAPH!H11+IFERROR(INDEX($Z$8:$Z$47,$A11-GRAPH!H20),0)*GRAPH!H12+SUMPRODUCT(($D$8:$D$10=REGIONS!$B$13)*($F$8:$F$10+$A$8:$A$10=$A11)*$E$8:$E$10)+SUMPRODUCT(($N$8:$N$10=REGIONS!$B$13)*($P$8:$P$10+$A$8:$A$10=$A11)*$O$8:$O$10)</f>
        <v>-0.6682</v>
      </c>
      <c r="AH11" s="28" t="n">
        <f aca="false">CLIMATE!O11+IFERROR(INDEX($W$8:$W$47,$A11-GRAPH!I17),0)*GRAPH!I9+IFERROR(INDEX($X$8:$X$47,$A11-GRAPH!I18),0)*GRAPH!I10+IFERROR(INDEX($Y$8:$Y$47,$A11-GRAPH!I19),0)*GRAPH!I11+IFERROR(INDEX($Z$8:$Z$47,$A11-GRAPH!I20),0)*GRAPH!I12+SUMPRODUCT(($D$8:$D$10=REGIONS!$B$14)*($F$8:$F$10+$A$8:$A$10=$A11)*$E$8:$E$10)+SUMPRODUCT(($N$8:$N$10=REGIONS!$B$14)*($P$8:$P$10+$A$8:$A$10=$A11)*$O$8:$O$10)</f>
        <v>0.1482</v>
      </c>
      <c r="AI11" s="28" t="n">
        <f aca="false">REGIONS!$F$7*(1+ASSUMPTIONS!$B$19*$A11)</f>
        <v>0.8192</v>
      </c>
      <c r="AJ11" s="28" t="n">
        <f aca="false">REGIONS!$F$8*(1+ASSUMPTIONS!$B$19*$A11)</f>
        <v>0.9216</v>
      </c>
      <c r="AK11" s="28" t="n">
        <f aca="false">REGIONS!$F$9*(1+ASSUMPTIONS!$B$19*$A11)</f>
        <v>0.9216</v>
      </c>
      <c r="AL11" s="28" t="n">
        <f aca="false">REGIONS!$F$10*(1+ASSUMPTIONS!$B$19*$A11)</f>
        <v>0.7168</v>
      </c>
      <c r="AM11" s="28" t="n">
        <f aca="false">REGIONS!$F$11*(1+ASSUMPTIONS!$B$19*$A11)</f>
        <v>0.7168</v>
      </c>
      <c r="AN11" s="28" t="n">
        <f aca="false">REGIONS!$F$12*(1+ASSUMPTIONS!$B$19*$A11)</f>
        <v>1.1264</v>
      </c>
      <c r="AO11" s="28" t="n">
        <f aca="false">REGIONS!$F$13*(1+ASSUMPTIONS!$B$19*$A11)</f>
        <v>1.2288</v>
      </c>
      <c r="AP11" s="28" t="n">
        <f aca="false">REGIONS!$F$14*(1+ASSUMPTIONS!$B$19*$A11)</f>
        <v>1.2288</v>
      </c>
      <c r="AQ11" s="11" t="n">
        <f aca="false">SUMPRODUCT(($D$8:$D$47=REGIONS!$B$7)*($A$8:$A$47&lt;=$A11)*$L$8:$L$47)+SUMPRODUCT(($N$8:$N$47=REGIONS!$B$7)*($A$8:$A$47&lt;=$A11)*$V$8:$V$47)</f>
        <v>0</v>
      </c>
      <c r="AR11" s="11" t="n">
        <f aca="false">SUMPRODUCT(($D$8:$D$47=REGIONS!$B$8)*($A$8:$A$47&lt;=$A11)*$L$8:$L$47)+SUMPRODUCT(($N$8:$N$47=REGIONS!$B$8)*($A$8:$A$47&lt;=$A11)*$V$8:$V$47)</f>
        <v>0</v>
      </c>
      <c r="AS11" s="11" t="n">
        <f aca="false">SUMPRODUCT(($D$8:$D$47=REGIONS!$B$9)*($A$8:$A$47&lt;=$A11)*$L$8:$L$47)+SUMPRODUCT(($N$8:$N$47=REGIONS!$B$9)*($A$8:$A$47&lt;=$A11)*$V$8:$V$47)</f>
        <v>0</v>
      </c>
      <c r="AT11" s="11" t="n">
        <f aca="false">SUMPRODUCT(($D$8:$D$47=REGIONS!$B$10)*($A$8:$A$47&lt;=$A11)*$L$8:$L$47)+SUMPRODUCT(($N$8:$N$47=REGIONS!$B$10)*($A$8:$A$47&lt;=$A11)*$V$8:$V$47)</f>
        <v>0</v>
      </c>
      <c r="AU11" s="11" t="n">
        <f aca="false">SUMPRODUCT(($D$8:$D$47=REGIONS!$B$11)*($A$8:$A$47&lt;=$A11)*$L$8:$L$47)+SUMPRODUCT(($N$8:$N$47=REGIONS!$B$11)*($A$8:$A$47&lt;=$A11)*$V$8:$V$47)</f>
        <v>0</v>
      </c>
      <c r="AV11" s="11" t="n">
        <f aca="false">SUMPRODUCT(($D$8:$D$47=REGIONS!$B$12)*($A$8:$A$47&lt;=$A11)*$L$8:$L$47)+SUMPRODUCT(($N$8:$N$47=REGIONS!$B$12)*($A$8:$A$47&lt;=$A11)*$V$8:$V$47)</f>
        <v>0</v>
      </c>
      <c r="AW11" s="11" t="n">
        <f aca="false">SUMPRODUCT(($D$8:$D$47=REGIONS!$B$13)*($A$8:$A$47&lt;=$A11)*$L$8:$L$47)+SUMPRODUCT(($N$8:$N$47=REGIONS!$B$13)*($A$8:$A$47&lt;=$A11)*$V$8:$V$47)</f>
        <v>0</v>
      </c>
      <c r="AX11" s="11" t="n">
        <f aca="false">SUMPRODUCT(($D$8:$D$47=REGIONS!$B$14)*($A$8:$A$47&lt;=$A11)*$L$8:$L$47)+SUMPRODUCT(($N$8:$N$47=REGIONS!$B$14)*($A$8:$A$47&lt;=$A11)*$V$8:$V$47)</f>
        <v>0</v>
      </c>
      <c r="AY11" s="12" t="n">
        <f aca="false">MAX(0,MIN(135,100-(MAX(0,-$AA11)*REGIONS!$E$7*ASSUMPTIONS!$B$7+MAX(0,$AA11-ASSUMPTIONS!$B$9)*REGIONS!$E$7*ASSUMPTIONS!$B$8)*(1-$AQ11/100)))</f>
        <v>100</v>
      </c>
      <c r="AZ11" s="12" t="n">
        <f aca="false">MAX(0,MIN(135,100-(MAX(0,-$AB11)*REGIONS!$E$8*ASSUMPTIONS!$B$7+MAX(0,$AB11-ASSUMPTIONS!$B$9)*REGIONS!$E$8*ASSUMPTIONS!$B$8)*(1-$AR11/100)))</f>
        <v>94.29122</v>
      </c>
      <c r="BA11" s="12" t="n">
        <f aca="false">MAX(0,MIN(135,100-(MAX(0,-$AC11)*REGIONS!$E$9*ASSUMPTIONS!$B$7+MAX(0,$AC11-ASSUMPTIONS!$B$9)*REGIONS!$E$9*ASSUMPTIONS!$B$8)*(1-$AS11/100)))</f>
        <v>100</v>
      </c>
      <c r="BB11" s="12" t="n">
        <f aca="false">MAX(0,MIN(135,100-(MAX(0,-$AD11)*REGIONS!$E$10*ASSUMPTIONS!$B$7+MAX(0,$AD11-ASSUMPTIONS!$B$9)*REGIONS!$E$10*ASSUMPTIONS!$B$8)*(1-$AT11/100)))</f>
        <v>87.62176</v>
      </c>
      <c r="BC11" s="12" t="n">
        <f aca="false">MAX(0,MIN(135,100-(MAX(0,-$AE11)*REGIONS!$E$11*ASSUMPTIONS!$B$7+MAX(0,$AE11-ASSUMPTIONS!$B$9)*REGIONS!$E$11*ASSUMPTIONS!$B$8)*(1-$AU11/100)))</f>
        <v>95.62486</v>
      </c>
      <c r="BD11" s="12" t="n">
        <f aca="false">MAX(0,MIN(135,100-(MAX(0,-$AF11)*REGIONS!$E$12*ASSUMPTIONS!$B$7+MAX(0,$AF11-ASSUMPTIONS!$B$9)*REGIONS!$E$12*ASSUMPTIONS!$B$8)*(1-$AV11/100)))</f>
        <v>93.26054</v>
      </c>
      <c r="BE11" s="12" t="n">
        <f aca="false">MAX(0,MIN(135,100-(MAX(0,-$AG11)*REGIONS!$E$13*ASSUMPTIONS!$B$7+MAX(0,$AG11-ASSUMPTIONS!$B$9)*REGIONS!$E$13*ASSUMPTIONS!$B$8)*(1-$AW11/100)))</f>
        <v>86.90328</v>
      </c>
      <c r="BF11" s="12" t="n">
        <f aca="false">MAX(0,MIN(135,100-(MAX(0,-$AH11)*REGIONS!$E$14*ASSUMPTIONS!$B$7+MAX(0,$AH11-ASSUMPTIONS!$B$9)*REGIONS!$E$14*ASSUMPTIONS!$B$8)*(1-$AX11/100)))</f>
        <v>100</v>
      </c>
      <c r="BG11" s="12" t="n">
        <f aca="false">$AY11*REGIONS!$D$7/100+$AZ11*REGIONS!$D$8/100+$BA11*REGIONS!$D$9/100+$BB11*REGIONS!$D$10/100+$BC11*REGIONS!$D$11/100+$BD11*REGIONS!$D$12/100+$BE11*REGIONS!$D$13/100+$BF11*REGIONS!$D$14/100</f>
        <v>95.0759298</v>
      </c>
      <c r="BH11" s="12" t="n">
        <f aca="false">100*(100/MAX(1,$BG11))^ASSUMPTIONS!$B$10</f>
        <v>109.514835119271</v>
      </c>
      <c r="BI11" s="12" t="n">
        <f aca="false">$AY11*$BH11/100*ASSUMPTIONS!$B$11</f>
        <v>93.0876098513807</v>
      </c>
      <c r="BJ11" s="28" t="n">
        <f aca="false">MAX(0,ABS($AA11)-$AI11*ASSUMPTIONS!$B$24)*REGIONS!$D$7/100+MAX(0,ABS($AB11)-$AJ11*ASSUMPTIONS!$B$24)*REGIONS!$D$8/100+MAX(0,ABS($AC11)-$AK11*ASSUMPTIONS!$B$24)*REGIONS!$D$9/100+MAX(0,ABS($AD11)-$AL11*ASSUMPTIONS!$B$24)*REGIONS!$D$10/100+MAX(0,ABS($AE11)-$AM11*ASSUMPTIONS!$B$24)*REGIONS!$D$11/100+MAX(0,ABS($AF11)-$AN11*ASSUMPTIONS!$B$24)*REGIONS!$D$12/100+MAX(0,ABS($AG11)-$AO11*ASSUMPTIONS!$B$24)*REGIONS!$D$13/100+MAX(0,ABS($AH11)-$AP11*ASSUMPTIONS!$B$24)*REGIONS!$D$14/100</f>
        <v>0.035856</v>
      </c>
      <c r="BK11" s="12" t="n">
        <f aca="false">MIN(ASSUMPTIONS!$B$14,ASSUMPTIONS!$B$12+$BJ11*ASSUMPTIONS!$B$13)</f>
        <v>29.505952</v>
      </c>
      <c r="BL11" s="11" t="n">
        <f aca="false">$H11+$R11</f>
        <v>0</v>
      </c>
      <c r="BM11" s="11" t="n">
        <f aca="false">PLAY!$H11</f>
        <v>0</v>
      </c>
      <c r="BN11" s="12" t="n">
        <f aca="false">$BI11*ASSUMPTIONS!$B$15+$BK11*ASSUMPTIONS!$B$16</f>
        <v>37.7258699821657</v>
      </c>
      <c r="BO11" s="12" t="n">
        <f aca="false">$BO10+$BN11-$BL11-$BM11-ASSUMPTIONS!$B$23</f>
        <v>112.3714529045</v>
      </c>
      <c r="BP11" s="12" t="n">
        <f aca="false">(SUMPRODUCT(($F$8:$F$10+$A$8:$A$10=$A11)*($C$8:$C$10&lt;&gt;"NONE")*$G$8:$G$10)+SUMPRODUCT(($P$8:$P$10+$A$8:$A$10=$A11)*($M$8:$M$10&lt;&gt;"NONE")*$Q$8:$Q$10))*(1+ASSUMPTIONS!$B$22*(MAX(0,ABS($AA11)/$AI11-1)+MAX(0,ABS($AB11)/$AJ11-1)+MAX(0,ABS($AC11)/$AK11-1)+MAX(0,ABS($AD11)/$AL11-1)+MAX(0,ABS($AE11)/$AM11-1)+MAX(0,ABS($AF11)/$AN11-1)+MAX(0,ABS($AG11)/$AO11-1)+MAX(0,ABS($AH11)/$AP11-1))/8)</f>
        <v>0</v>
      </c>
      <c r="BQ11" s="12" t="n">
        <f aca="false">MAX(0,$BQ10*(1-ASSUMPTIONS!$B$18)+$BP11-$BM11*ASSUMPTIONS!$B$17)</f>
        <v>1.94644575535137</v>
      </c>
    </row>
    <row r="12" customFormat="false" ht="15" hidden="false" customHeight="false" outlineLevel="0" collapsed="false">
      <c r="A12" s="13" t="n">
        <v>5</v>
      </c>
      <c r="B12" s="11" t="n">
        <f aca="false">CLIMATE!B12</f>
        <v>1947</v>
      </c>
      <c r="C12" s="13" t="str">
        <f aca="false">IFERROR(INDEX(CAPABILITIES!$B$7:$B$15,MATCH(PLAY!$D12,CAPABILITIES!$A$7:$A$15,0)),"NONE")</f>
        <v>NONE</v>
      </c>
      <c r="D12" s="13" t="n">
        <f aca="false">IFERROR(IF(INDEX(CAPABILITIES!$B$7:$B$15,MATCH(PLAY!$D12,CAPABILITIES!$A$7:$A$15,0))="DRIVER",INDEX(CAPABILITIES!$C$7:$C$15,MATCH(PLAY!$D12,CAPABILITIES!$A$7:$A$15,0)),PLAY!$E12),"")</f>
        <v>0</v>
      </c>
      <c r="E12" s="13" t="n">
        <f aca="false">IFERROR(INDEX(CAPABILITIES!$D$7:$D$15,MATCH(PLAY!$D12,CAPABILITIES!$A$7:$A$15,0))*IF(INDEX(CAPABILITIES!$K$7:$K$15,MATCH(PLAY!$D12,CAPABILITIES!$A$7:$A$15,0))="Y",IF(IFERROR(INDEX($AA11:$AH11,MATCH(PLAY!$E12,REGIONS!$B$7:$B$14,0)),0)&lt;ASSUMPTIONS!$B$20,1,ASSUMPTIONS!$B$21),1),0)</f>
        <v>0</v>
      </c>
      <c r="F12" s="13" t="n">
        <f aca="false">IFERROR(INDEX(CAPABILITIES!$E$7:$E$15,MATCH(PLAY!$D12,CAPABILITIES!$A$7:$A$15,0)),0)</f>
        <v>0</v>
      </c>
      <c r="G12" s="13" t="n">
        <f aca="false">IFERROR(INDEX(CAPABILITIES!$F$7:$F$15,MATCH(PLAY!$D12,CAPABILITIES!$A$7:$A$15,0)),0)</f>
        <v>0</v>
      </c>
      <c r="H12" s="13" t="n">
        <f aca="false">IFERROR(INDEX(CAPABILITIES!$G$7:$G$15,MATCH(PLAY!$D12,CAPABILITIES!$A$7:$A$15,0)),0)</f>
        <v>0</v>
      </c>
      <c r="I12" s="13" t="n">
        <f aca="false">IFERROR(INDEX(CAPABILITIES!$H$7:$H$15,MATCH(PLAY!$D12,CAPABILITIES!$A$7:$A$15,0)),"")</f>
        <v>0</v>
      </c>
      <c r="J12" s="13" t="n">
        <f aca="false">IFERROR(INDEX(CAPABILITIES!$D$7:$D$15,MATCH(PLAY!$D12,CAPABILITIES!$A$7:$A$15,0))*INDEX(CAPABILITIES!$I$7:$I$15,MATCH(PLAY!$D12,CAPABILITIES!$A$7:$A$15,0)),0)</f>
        <v>0</v>
      </c>
      <c r="K12" s="13" t="n">
        <f aca="false">IFERROR(INDEX(CAPABILITIES!$E$7:$E$15,MATCH(PLAY!$D12,CAPABILITIES!$A$7:$A$15,0))+INDEX(CAPABILITIES!$J$7:$J$15,MATCH(PLAY!$D12,CAPABILITIES!$A$7:$A$15,0)),0)</f>
        <v>0</v>
      </c>
      <c r="L12" s="13" t="n">
        <f aca="false">IFERROR(INDEX(CAPABILITIES!$L$7:$L$15,MATCH(PLAY!$D12,CAPABILITIES!$A$7:$A$15,0)),0)</f>
        <v>0</v>
      </c>
      <c r="M12" s="13" t="str">
        <f aca="false">IFERROR(INDEX(CAPABILITIES!$B$7:$B$15,MATCH(PLAY!$F12,CAPABILITIES!$A$7:$A$15,0)),"NONE")</f>
        <v>NONE</v>
      </c>
      <c r="N12" s="13" t="n">
        <f aca="false">IFERROR(IF(INDEX(CAPABILITIES!$B$7:$B$15,MATCH(PLAY!$F12,CAPABILITIES!$A$7:$A$15,0))="DRIVER",INDEX(CAPABILITIES!$C$7:$C$15,MATCH(PLAY!$F12,CAPABILITIES!$A$7:$A$15,0)),PLAY!$G12),"")</f>
        <v>0</v>
      </c>
      <c r="O12" s="13" t="n">
        <f aca="false">IFERROR(INDEX(CAPABILITIES!$D$7:$D$15,MATCH(PLAY!$F12,CAPABILITIES!$A$7:$A$15,0))*IF(INDEX(CAPABILITIES!$K$7:$K$15,MATCH(PLAY!$F12,CAPABILITIES!$A$7:$A$15,0))="Y",IF(IFERROR(INDEX($AA11:$AH11,MATCH(PLAY!$G12,REGIONS!$B$7:$B$14,0)),0)&lt;ASSUMPTIONS!$B$20,1,ASSUMPTIONS!$B$21),1),0)</f>
        <v>0</v>
      </c>
      <c r="P12" s="13" t="n">
        <f aca="false">IFERROR(INDEX(CAPABILITIES!$E$7:$E$15,MATCH(PLAY!$F12,CAPABILITIES!$A$7:$A$15,0)),0)</f>
        <v>0</v>
      </c>
      <c r="Q12" s="13" t="n">
        <f aca="false">IFERROR(INDEX(CAPABILITIES!$F$7:$F$15,MATCH(PLAY!$F12,CAPABILITIES!$A$7:$A$15,0)),0)</f>
        <v>0</v>
      </c>
      <c r="R12" s="13" t="n">
        <f aca="false">IFERROR(INDEX(CAPABILITIES!$G$7:$G$15,MATCH(PLAY!$F12,CAPABILITIES!$A$7:$A$15,0)),0)</f>
        <v>0</v>
      </c>
      <c r="S12" s="13" t="n">
        <f aca="false">IFERROR(INDEX(CAPABILITIES!$H$7:$H$15,MATCH(PLAY!$F12,CAPABILITIES!$A$7:$A$15,0)),"")</f>
        <v>0</v>
      </c>
      <c r="T12" s="13" t="n">
        <f aca="false">IFERROR(INDEX(CAPABILITIES!$D$7:$D$15,MATCH(PLAY!$F12,CAPABILITIES!$A$7:$A$15,0))*INDEX(CAPABILITIES!$I$7:$I$15,MATCH(PLAY!$F12,CAPABILITIES!$A$7:$A$15,0)),0)</f>
        <v>0</v>
      </c>
      <c r="U12" s="13" t="n">
        <f aca="false">IFERROR(INDEX(CAPABILITIES!$E$7:$E$15,MATCH(PLAY!$F12,CAPABILITIES!$A$7:$A$15,0))+INDEX(CAPABILITIES!$J$7:$J$15,MATCH(PLAY!$F12,CAPABILITIES!$A$7:$A$15,0)),0)</f>
        <v>0</v>
      </c>
      <c r="V12" s="13" t="n">
        <f aca="false">IFERROR(INDEX(CAPABILITIES!$L$7:$L$15,MATCH(PLAY!$F12,CAPABILITIES!$A$7:$A$15,0)),0)</f>
        <v>0</v>
      </c>
      <c r="W12" s="28" t="n">
        <f aca="false">CLIMATE!D12+SUMPRODUCT(($D$8:$D$11="ENSO")*($F$8:$F$11+$A$8:$A$11=$A12)*$E$8:$E$11)+SUMPRODUCT(($I$8:$I$11="ENSO")*($K$8:$K$11+$A$8:$A$11=$A12)*$J$8:$J$11)+SUMPRODUCT(($N$8:$N$11="ENSO")*($P$8:$P$11+$A$8:$A$11=$A12)*$O$8:$O$11)+SUMPRODUCT(($S$8:$S$11="ENSO")*($U$8:$U$11+$A$8:$A$11=$A12)*$T$8:$T$11)</f>
        <v>0.702</v>
      </c>
      <c r="X12" s="28" t="n">
        <f aca="false">CLIMATE!E12+SUMPRODUCT(($D$8:$D$11="IOD")*($F$8:$F$11+$A$8:$A$11=$A12)*$E$8:$E$11)+SUMPRODUCT(($I$8:$I$11="IOD")*($K$8:$K$11+$A$8:$A$11=$A12)*$J$8:$J$11)+SUMPRODUCT(($N$8:$N$11="IOD")*($P$8:$P$11+$A$8:$A$11=$A12)*$O$8:$O$11)+SUMPRODUCT(($S$8:$S$11="IOD")*($U$8:$U$11+$A$8:$A$11=$A12)*$T$8:$T$11)</f>
        <v>-0.658</v>
      </c>
      <c r="Y12" s="28" t="n">
        <f aca="false">CLIMATE!F12+SUMPRODUCT(($D$8:$D$11="NATL")*($F$8:$F$11+$A$8:$A$11=$A12)*$E$8:$E$11)+SUMPRODUCT(($I$8:$I$11="NATL")*($K$8:$K$11+$A$8:$A$11=$A12)*$J$8:$J$11)+SUMPRODUCT(($N$8:$N$11="NATL")*($P$8:$P$11+$A$8:$A$11=$A12)*$O$8:$O$11)+SUMPRODUCT(($S$8:$S$11="NATL")*($U$8:$U$11+$A$8:$A$11=$A12)*$T$8:$T$11)</f>
        <v>0.547</v>
      </c>
      <c r="Z12" s="28" t="n">
        <f aca="false">CLIMATE!G12+SUMPRODUCT(($D$8:$D$11="GLOBAL")*($F$8:$F$11+$A$8:$A$11=$A12)*$E$8:$E$11)+SUMPRODUCT(($I$8:$I$11="GLOBAL")*($K$8:$K$11+$A$8:$A$11=$A12)*$J$8:$J$11)+SUMPRODUCT(($N$8:$N$11="GLOBAL")*($P$8:$P$11+$A$8:$A$11=$A12)*$O$8:$O$11)+SUMPRODUCT(($S$8:$S$11="GLOBAL")*($U$8:$U$11+$A$8:$A$11=$A12)*$T$8:$T$11)</f>
        <v>0</v>
      </c>
      <c r="AA12" s="28" t="n">
        <f aca="false">CLIMATE!H12+IFERROR(INDEX($W$8:$W$47,$A12-GRAPH!B17),0)*GRAPH!B9+IFERROR(INDEX($X$8:$X$47,$A12-GRAPH!B18),0)*GRAPH!B10+IFERROR(INDEX($Y$8:$Y$47,$A12-GRAPH!B19),0)*GRAPH!B11+IFERROR(INDEX($Z$8:$Z$47,$A12-GRAPH!B20),0)*GRAPH!B12+SUMPRODUCT(($D$8:$D$11=REGIONS!$B$7)*($F$8:$F$11+$A$8:$A$11=$A12)*$E$8:$E$11)+SUMPRODUCT(($N$8:$N$11=REGIONS!$B$7)*($P$8:$P$11+$A$8:$A$11=$A12)*$O$8:$O$11)</f>
        <v>-0.2012</v>
      </c>
      <c r="AB12" s="28" t="n">
        <f aca="false">CLIMATE!I12+IFERROR(INDEX($W$8:$W$47,$A12-GRAPH!C17),0)*GRAPH!C9+IFERROR(INDEX($X$8:$X$47,$A12-GRAPH!C18),0)*GRAPH!C10+IFERROR(INDEX($Y$8:$Y$47,$A12-GRAPH!C19),0)*GRAPH!C11+IFERROR(INDEX($Z$8:$Z$47,$A12-GRAPH!C20),0)*GRAPH!C12+SUMPRODUCT(($D$8:$D$11=REGIONS!$B$8)*($F$8:$F$11+$A$8:$A$11=$A12)*$E$8:$E$11)+SUMPRODUCT(($N$8:$N$11=REGIONS!$B$8)*($P$8:$P$11+$A$8:$A$11=$A12)*$O$8:$O$11)</f>
        <v>-0.3746</v>
      </c>
      <c r="AC12" s="28" t="n">
        <f aca="false">CLIMATE!J12+IFERROR(INDEX($W$8:$W$47,$A12-GRAPH!D17),0)*GRAPH!D9+IFERROR(INDEX($X$8:$X$47,$A12-GRAPH!D18),0)*GRAPH!D10+IFERROR(INDEX($Y$8:$Y$47,$A12-GRAPH!D19),0)*GRAPH!D11+IFERROR(INDEX($Z$8:$Z$47,$A12-GRAPH!D20),0)*GRAPH!D12+SUMPRODUCT(($D$8:$D$11=REGIONS!$B$9)*($F$8:$F$11+$A$8:$A$11=$A12)*$E$8:$E$11)+SUMPRODUCT(($N$8:$N$11=REGIONS!$B$9)*($P$8:$P$11+$A$8:$A$11=$A12)*$O$8:$O$11)</f>
        <v>0.2085</v>
      </c>
      <c r="AD12" s="28" t="n">
        <f aca="false">CLIMATE!K12+IFERROR(INDEX($W$8:$W$47,$A12-GRAPH!E17),0)*GRAPH!E9+IFERROR(INDEX($X$8:$X$47,$A12-GRAPH!E18),0)*GRAPH!E10+IFERROR(INDEX($Y$8:$Y$47,$A12-GRAPH!E19),0)*GRAPH!E11+IFERROR(INDEX($Z$8:$Z$47,$A12-GRAPH!E20),0)*GRAPH!E12+SUMPRODUCT(($D$8:$D$11=REGIONS!$B$10)*($F$8:$F$11+$A$8:$A$11=$A12)*$E$8:$E$11)+SUMPRODUCT(($N$8:$N$11=REGIONS!$B$10)*($P$8:$P$11+$A$8:$A$11=$A12)*$O$8:$O$11)</f>
        <v>-0.6115</v>
      </c>
      <c r="AE12" s="28" t="n">
        <f aca="false">CLIMATE!L12+IFERROR(INDEX($W$8:$W$47,$A12-GRAPH!F17),0)*GRAPH!F9+IFERROR(INDEX($X$8:$X$47,$A12-GRAPH!F18),0)*GRAPH!F10+IFERROR(INDEX($Y$8:$Y$47,$A12-GRAPH!F19),0)*GRAPH!F11+IFERROR(INDEX($Z$8:$Z$47,$A12-GRAPH!F20),0)*GRAPH!F12+SUMPRODUCT(($D$8:$D$11=REGIONS!$B$11)*($F$8:$F$11+$A$8:$A$11=$A12)*$E$8:$E$11)+SUMPRODUCT(($N$8:$N$11=REGIONS!$B$11)*($P$8:$P$11+$A$8:$A$11=$A12)*$O$8:$O$11)</f>
        <v>-0.4571</v>
      </c>
      <c r="AF12" s="28" t="n">
        <f aca="false">CLIMATE!M12+IFERROR(INDEX($W$8:$W$47,$A12-GRAPH!G17),0)*GRAPH!G9+IFERROR(INDEX($X$8:$X$47,$A12-GRAPH!G18),0)*GRAPH!G10+IFERROR(INDEX($Y$8:$Y$47,$A12-GRAPH!G19),0)*GRAPH!G11+IFERROR(INDEX($Z$8:$Z$47,$A12-GRAPH!G20),0)*GRAPH!G12+SUMPRODUCT(($D$8:$D$11=REGIONS!$B$12)*($F$8:$F$11+$A$8:$A$11=$A12)*$E$8:$E$11)+SUMPRODUCT(($N$8:$N$11=REGIONS!$B$12)*($P$8:$P$11+$A$8:$A$11=$A12)*$O$8:$O$11)</f>
        <v>0.0844999999999999</v>
      </c>
      <c r="AG12" s="28" t="n">
        <f aca="false">CLIMATE!N12+IFERROR(INDEX($W$8:$W$47,$A12-GRAPH!H17),0)*GRAPH!H9+IFERROR(INDEX($X$8:$X$47,$A12-GRAPH!H18),0)*GRAPH!H10+IFERROR(INDEX($Y$8:$Y$47,$A12-GRAPH!H19),0)*GRAPH!H11+IFERROR(INDEX($Z$8:$Z$47,$A12-GRAPH!H20),0)*GRAPH!H12+SUMPRODUCT(($D$8:$D$11=REGIONS!$B$13)*($F$8:$F$11+$A$8:$A$11=$A12)*$E$8:$E$11)+SUMPRODUCT(($N$8:$N$11=REGIONS!$B$13)*($P$8:$P$11+$A$8:$A$11=$A12)*$O$8:$O$11)</f>
        <v>-0.3204</v>
      </c>
      <c r="AH12" s="28" t="n">
        <f aca="false">CLIMATE!O12+IFERROR(INDEX($W$8:$W$47,$A12-GRAPH!I17),0)*GRAPH!I9+IFERROR(INDEX($X$8:$X$47,$A12-GRAPH!I18),0)*GRAPH!I10+IFERROR(INDEX($Y$8:$Y$47,$A12-GRAPH!I19),0)*GRAPH!I11+IFERROR(INDEX($Z$8:$Z$47,$A12-GRAPH!I20),0)*GRAPH!I12+SUMPRODUCT(($D$8:$D$11=REGIONS!$B$14)*($F$8:$F$11+$A$8:$A$11=$A12)*$E$8:$E$11)+SUMPRODUCT(($N$8:$N$11=REGIONS!$B$14)*($P$8:$P$11+$A$8:$A$11=$A12)*$O$8:$O$11)</f>
        <v>-0.986</v>
      </c>
      <c r="AI12" s="28" t="n">
        <f aca="false">REGIONS!$F$7*(1+ASSUMPTIONS!$B$19*$A12)</f>
        <v>0.824</v>
      </c>
      <c r="AJ12" s="28" t="n">
        <f aca="false">REGIONS!$F$8*(1+ASSUMPTIONS!$B$19*$A12)</f>
        <v>0.927</v>
      </c>
      <c r="AK12" s="28" t="n">
        <f aca="false">REGIONS!$F$9*(1+ASSUMPTIONS!$B$19*$A12)</f>
        <v>0.927</v>
      </c>
      <c r="AL12" s="28" t="n">
        <f aca="false">REGIONS!$F$10*(1+ASSUMPTIONS!$B$19*$A12)</f>
        <v>0.721</v>
      </c>
      <c r="AM12" s="28" t="n">
        <f aca="false">REGIONS!$F$11*(1+ASSUMPTIONS!$B$19*$A12)</f>
        <v>0.721</v>
      </c>
      <c r="AN12" s="28" t="n">
        <f aca="false">REGIONS!$F$12*(1+ASSUMPTIONS!$B$19*$A12)</f>
        <v>1.133</v>
      </c>
      <c r="AO12" s="28" t="n">
        <f aca="false">REGIONS!$F$13*(1+ASSUMPTIONS!$B$19*$A12)</f>
        <v>1.236</v>
      </c>
      <c r="AP12" s="28" t="n">
        <f aca="false">REGIONS!$F$14*(1+ASSUMPTIONS!$B$19*$A12)</f>
        <v>1.236</v>
      </c>
      <c r="AQ12" s="11" t="n">
        <f aca="false">SUMPRODUCT(($D$8:$D$47=REGIONS!$B$7)*($A$8:$A$47&lt;=$A12)*$L$8:$L$47)+SUMPRODUCT(($N$8:$N$47=REGIONS!$B$7)*($A$8:$A$47&lt;=$A12)*$V$8:$V$47)</f>
        <v>0</v>
      </c>
      <c r="AR12" s="11" t="n">
        <f aca="false">SUMPRODUCT(($D$8:$D$47=REGIONS!$B$8)*($A$8:$A$47&lt;=$A12)*$L$8:$L$47)+SUMPRODUCT(($N$8:$N$47=REGIONS!$B$8)*($A$8:$A$47&lt;=$A12)*$V$8:$V$47)</f>
        <v>0</v>
      </c>
      <c r="AS12" s="11" t="n">
        <f aca="false">SUMPRODUCT(($D$8:$D$47=REGIONS!$B$9)*($A$8:$A$47&lt;=$A12)*$L$8:$L$47)+SUMPRODUCT(($N$8:$N$47=REGIONS!$B$9)*($A$8:$A$47&lt;=$A12)*$V$8:$V$47)</f>
        <v>0</v>
      </c>
      <c r="AT12" s="11" t="n">
        <f aca="false">SUMPRODUCT(($D$8:$D$47=REGIONS!$B$10)*($A$8:$A$47&lt;=$A12)*$L$8:$L$47)+SUMPRODUCT(($N$8:$N$47=REGIONS!$B$10)*($A$8:$A$47&lt;=$A12)*$V$8:$V$47)</f>
        <v>0</v>
      </c>
      <c r="AU12" s="11" t="n">
        <f aca="false">SUMPRODUCT(($D$8:$D$47=REGIONS!$B$11)*($A$8:$A$47&lt;=$A12)*$L$8:$L$47)+SUMPRODUCT(($N$8:$N$47=REGIONS!$B$11)*($A$8:$A$47&lt;=$A12)*$V$8:$V$47)</f>
        <v>0</v>
      </c>
      <c r="AV12" s="11" t="n">
        <f aca="false">SUMPRODUCT(($D$8:$D$47=REGIONS!$B$12)*($A$8:$A$47&lt;=$A12)*$L$8:$L$47)+SUMPRODUCT(($N$8:$N$47=REGIONS!$B$12)*($A$8:$A$47&lt;=$A12)*$V$8:$V$47)</f>
        <v>0</v>
      </c>
      <c r="AW12" s="11" t="n">
        <f aca="false">SUMPRODUCT(($D$8:$D$47=REGIONS!$B$13)*($A$8:$A$47&lt;=$A12)*$L$8:$L$47)+SUMPRODUCT(($N$8:$N$47=REGIONS!$B$13)*($A$8:$A$47&lt;=$A12)*$V$8:$V$47)</f>
        <v>0</v>
      </c>
      <c r="AX12" s="11" t="n">
        <f aca="false">SUMPRODUCT(($D$8:$D$47=REGIONS!$B$14)*($A$8:$A$47&lt;=$A12)*$L$8:$L$47)+SUMPRODUCT(($N$8:$N$47=REGIONS!$B$14)*($A$8:$A$47&lt;=$A12)*$V$8:$V$47)</f>
        <v>0</v>
      </c>
      <c r="AY12" s="12" t="n">
        <f aca="false">MAX(0,MIN(135,100-(MAX(0,-$AA12)*REGIONS!$E$7*ASSUMPTIONS!$B$7+MAX(0,$AA12-ASSUMPTIONS!$B$9)*REGIONS!$E$7*ASSUMPTIONS!$B$8)*(1-$AQ12/100)))</f>
        <v>97.1832</v>
      </c>
      <c r="AZ12" s="12" t="n">
        <f aca="false">MAX(0,MIN(135,100-(MAX(0,-$AB12)*REGIONS!$E$8*ASSUMPTIONS!$B$7+MAX(0,$AB12-ASSUMPTIONS!$B$9)*REGIONS!$E$8*ASSUMPTIONS!$B$8)*(1-$AR12/100)))</f>
        <v>94.23116</v>
      </c>
      <c r="BA12" s="12" t="n">
        <f aca="false">MAX(0,MIN(135,100-(MAX(0,-$AC12)*REGIONS!$E$9*ASSUMPTIONS!$B$7+MAX(0,$AC12-ASSUMPTIONS!$B$9)*REGIONS!$E$9*ASSUMPTIONS!$B$8)*(1-$AS12/100)))</f>
        <v>100</v>
      </c>
      <c r="BB12" s="12" t="n">
        <f aca="false">MAX(0,MIN(135,100-(MAX(0,-$AD12)*REGIONS!$E$10*ASSUMPTIONS!$B$7+MAX(0,$AD12-ASSUMPTIONS!$B$9)*REGIONS!$E$10*ASSUMPTIONS!$B$8)*(1-$AT12/100)))</f>
        <v>89.7268</v>
      </c>
      <c r="BC12" s="12" t="n">
        <f aca="false">MAX(0,MIN(135,100-(MAX(0,-$AE12)*REGIONS!$E$11*ASSUMPTIONS!$B$7+MAX(0,$AE12-ASSUMPTIONS!$B$9)*REGIONS!$E$11*ASSUMPTIONS!$B$8)*(1-$AU12/100)))</f>
        <v>92.96066</v>
      </c>
      <c r="BD12" s="12" t="n">
        <f aca="false">MAX(0,MIN(135,100-(MAX(0,-$AF12)*REGIONS!$E$12*ASSUMPTIONS!$B$7+MAX(0,$AF12-ASSUMPTIONS!$B$9)*REGIONS!$E$12*ASSUMPTIONS!$B$8)*(1-$AV12/100)))</f>
        <v>100</v>
      </c>
      <c r="BE12" s="12" t="n">
        <f aca="false">MAX(0,MIN(135,100-(MAX(0,-$AG12)*REGIONS!$E$13*ASSUMPTIONS!$B$7+MAX(0,$AG12-ASSUMPTIONS!$B$9)*REGIONS!$E$13*ASSUMPTIONS!$B$8)*(1-$AW12/100)))</f>
        <v>93.72016</v>
      </c>
      <c r="BF12" s="12" t="n">
        <f aca="false">MAX(0,MIN(135,100-(MAX(0,-$AH12)*REGIONS!$E$14*ASSUMPTIONS!$B$7+MAX(0,$AH12-ASSUMPTIONS!$B$9)*REGIONS!$E$14*ASSUMPTIONS!$B$8)*(1-$AX12/100)))</f>
        <v>80.6744</v>
      </c>
      <c r="BG12" s="12" t="n">
        <f aca="false">$AY12*REGIONS!$D$7/100+$AZ12*REGIONS!$D$8/100+$BA12*REGIONS!$D$9/100+$BB12*REGIONS!$D$10/100+$BC12*REGIONS!$D$11/100+$BD12*REGIONS!$D$12/100+$BE12*REGIONS!$D$13/100+$BF12*REGIONS!$D$14/100</f>
        <v>94.2834024</v>
      </c>
      <c r="BH12" s="12" t="n">
        <f aca="false">100*(100/MAX(1,$BG12))^ASSUMPTIONS!$B$10</f>
        <v>111.177410986507</v>
      </c>
      <c r="BI12" s="12" t="n">
        <f aca="false">$AY12*$BH12/100*ASSUMPTIONS!$B$11</f>
        <v>91.8389008227629</v>
      </c>
      <c r="BJ12" s="28" t="n">
        <f aca="false">MAX(0,ABS($AA12)-$AI12*ASSUMPTIONS!$B$24)*REGIONS!$D$7/100+MAX(0,ABS($AB12)-$AJ12*ASSUMPTIONS!$B$24)*REGIONS!$D$8/100+MAX(0,ABS($AC12)-$AK12*ASSUMPTIONS!$B$24)*REGIONS!$D$9/100+MAX(0,ABS($AD12)-$AL12*ASSUMPTIONS!$B$24)*REGIONS!$D$10/100+MAX(0,ABS($AE12)-$AM12*ASSUMPTIONS!$B$24)*REGIONS!$D$11/100+MAX(0,ABS($AF12)-$AN12*ASSUMPTIONS!$B$24)*REGIONS!$D$12/100+MAX(0,ABS($AG12)-$AO12*ASSUMPTIONS!$B$24)*REGIONS!$D$13/100+MAX(0,ABS($AH12)-$AP12*ASSUMPTIONS!$B$24)*REGIONS!$D$14/100</f>
        <v>0.016275</v>
      </c>
      <c r="BK12" s="12" t="n">
        <f aca="false">MIN(ASSUMPTIONS!$B$14,ASSUMPTIONS!$B$12+$BJ12*ASSUMPTIONS!$B$13)</f>
        <v>28.68355</v>
      </c>
      <c r="BL12" s="11" t="n">
        <f aca="false">$H12+$R12</f>
        <v>0</v>
      </c>
      <c r="BM12" s="11" t="n">
        <f aca="false">PLAY!$H12</f>
        <v>0</v>
      </c>
      <c r="BN12" s="12" t="n">
        <f aca="false">$BI12*ASSUMPTIONS!$B$15+$BK12*ASSUMPTIONS!$B$16</f>
        <v>36.8358630987315</v>
      </c>
      <c r="BO12" s="12" t="n">
        <f aca="false">$BO11+$BN12-$BL12-$BM12-ASSUMPTIONS!$B$23</f>
        <v>117.207316003231</v>
      </c>
      <c r="BP12" s="12" t="n">
        <f aca="false">(SUMPRODUCT(($F$8:$F$11+$A$8:$A$11=$A12)*($C$8:$C$11&lt;&gt;"NONE")*$G$8:$G$11)+SUMPRODUCT(($P$8:$P$11+$A$8:$A$11=$A12)*($M$8:$M$11&lt;&gt;"NONE")*$Q$8:$Q$11))*(1+ASSUMPTIONS!$B$22*(MAX(0,ABS($AA12)/$AI12-1)+MAX(0,ABS($AB12)/$AJ12-1)+MAX(0,ABS($AC12)/$AK12-1)+MAX(0,ABS($AD12)/$AL12-1)+MAX(0,ABS($AE12)/$AM12-1)+MAX(0,ABS($AF12)/$AN12-1)+MAX(0,ABS($AG12)/$AO12-1)+MAX(0,ABS($AH12)/$AP12-1))/8)</f>
        <v>0</v>
      </c>
      <c r="BQ12" s="12" t="n">
        <f aca="false">MAX(0,$BQ11*(1-ASSUMPTIONS!$B$18)+$BP12-$BM12*ASSUMPTIONS!$B$17)</f>
        <v>1.86858792513731</v>
      </c>
    </row>
    <row r="13" customFormat="false" ht="15" hidden="false" customHeight="false" outlineLevel="0" collapsed="false">
      <c r="A13" s="13" t="n">
        <v>6</v>
      </c>
      <c r="B13" s="11" t="n">
        <f aca="false">CLIMATE!B13</f>
        <v>1947</v>
      </c>
      <c r="C13" s="13" t="str">
        <f aca="false">IFERROR(INDEX(CAPABILITIES!$B$7:$B$15,MATCH(PLAY!$D13,CAPABILITIES!$A$7:$A$15,0)),"NONE")</f>
        <v>NONE</v>
      </c>
      <c r="D13" s="13" t="n">
        <f aca="false">IFERROR(IF(INDEX(CAPABILITIES!$B$7:$B$15,MATCH(PLAY!$D13,CAPABILITIES!$A$7:$A$15,0))="DRIVER",INDEX(CAPABILITIES!$C$7:$C$15,MATCH(PLAY!$D13,CAPABILITIES!$A$7:$A$15,0)),PLAY!$E13),"")</f>
        <v>0</v>
      </c>
      <c r="E13" s="13" t="n">
        <f aca="false">IFERROR(INDEX(CAPABILITIES!$D$7:$D$15,MATCH(PLAY!$D13,CAPABILITIES!$A$7:$A$15,0))*IF(INDEX(CAPABILITIES!$K$7:$K$15,MATCH(PLAY!$D13,CAPABILITIES!$A$7:$A$15,0))="Y",IF(IFERROR(INDEX($AA12:$AH12,MATCH(PLAY!$E13,REGIONS!$B$7:$B$14,0)),0)&lt;ASSUMPTIONS!$B$20,1,ASSUMPTIONS!$B$21),1),0)</f>
        <v>0</v>
      </c>
      <c r="F13" s="13" t="n">
        <f aca="false">IFERROR(INDEX(CAPABILITIES!$E$7:$E$15,MATCH(PLAY!$D13,CAPABILITIES!$A$7:$A$15,0)),0)</f>
        <v>0</v>
      </c>
      <c r="G13" s="13" t="n">
        <f aca="false">IFERROR(INDEX(CAPABILITIES!$F$7:$F$15,MATCH(PLAY!$D13,CAPABILITIES!$A$7:$A$15,0)),0)</f>
        <v>0</v>
      </c>
      <c r="H13" s="13" t="n">
        <f aca="false">IFERROR(INDEX(CAPABILITIES!$G$7:$G$15,MATCH(PLAY!$D13,CAPABILITIES!$A$7:$A$15,0)),0)</f>
        <v>0</v>
      </c>
      <c r="I13" s="13" t="n">
        <f aca="false">IFERROR(INDEX(CAPABILITIES!$H$7:$H$15,MATCH(PLAY!$D13,CAPABILITIES!$A$7:$A$15,0)),"")</f>
        <v>0</v>
      </c>
      <c r="J13" s="13" t="n">
        <f aca="false">IFERROR(INDEX(CAPABILITIES!$D$7:$D$15,MATCH(PLAY!$D13,CAPABILITIES!$A$7:$A$15,0))*INDEX(CAPABILITIES!$I$7:$I$15,MATCH(PLAY!$D13,CAPABILITIES!$A$7:$A$15,0)),0)</f>
        <v>0</v>
      </c>
      <c r="K13" s="13" t="n">
        <f aca="false">IFERROR(INDEX(CAPABILITIES!$E$7:$E$15,MATCH(PLAY!$D13,CAPABILITIES!$A$7:$A$15,0))+INDEX(CAPABILITIES!$J$7:$J$15,MATCH(PLAY!$D13,CAPABILITIES!$A$7:$A$15,0)),0)</f>
        <v>0</v>
      </c>
      <c r="L13" s="13" t="n">
        <f aca="false">IFERROR(INDEX(CAPABILITIES!$L$7:$L$15,MATCH(PLAY!$D13,CAPABILITIES!$A$7:$A$15,0)),0)</f>
        <v>0</v>
      </c>
      <c r="M13" s="13" t="str">
        <f aca="false">IFERROR(INDEX(CAPABILITIES!$B$7:$B$15,MATCH(PLAY!$F13,CAPABILITIES!$A$7:$A$15,0)),"NONE")</f>
        <v>NONE</v>
      </c>
      <c r="N13" s="13" t="n">
        <f aca="false">IFERROR(IF(INDEX(CAPABILITIES!$B$7:$B$15,MATCH(PLAY!$F13,CAPABILITIES!$A$7:$A$15,0))="DRIVER",INDEX(CAPABILITIES!$C$7:$C$15,MATCH(PLAY!$F13,CAPABILITIES!$A$7:$A$15,0)),PLAY!$G13),"")</f>
        <v>0</v>
      </c>
      <c r="O13" s="13" t="n">
        <f aca="false">IFERROR(INDEX(CAPABILITIES!$D$7:$D$15,MATCH(PLAY!$F13,CAPABILITIES!$A$7:$A$15,0))*IF(INDEX(CAPABILITIES!$K$7:$K$15,MATCH(PLAY!$F13,CAPABILITIES!$A$7:$A$15,0))="Y",IF(IFERROR(INDEX($AA12:$AH12,MATCH(PLAY!$G13,REGIONS!$B$7:$B$14,0)),0)&lt;ASSUMPTIONS!$B$20,1,ASSUMPTIONS!$B$21),1),0)</f>
        <v>0</v>
      </c>
      <c r="P13" s="13" t="n">
        <f aca="false">IFERROR(INDEX(CAPABILITIES!$E$7:$E$15,MATCH(PLAY!$F13,CAPABILITIES!$A$7:$A$15,0)),0)</f>
        <v>0</v>
      </c>
      <c r="Q13" s="13" t="n">
        <f aca="false">IFERROR(INDEX(CAPABILITIES!$F$7:$F$15,MATCH(PLAY!$F13,CAPABILITIES!$A$7:$A$15,0)),0)</f>
        <v>0</v>
      </c>
      <c r="R13" s="13" t="n">
        <f aca="false">IFERROR(INDEX(CAPABILITIES!$G$7:$G$15,MATCH(PLAY!$F13,CAPABILITIES!$A$7:$A$15,0)),0)</f>
        <v>0</v>
      </c>
      <c r="S13" s="13" t="n">
        <f aca="false">IFERROR(INDEX(CAPABILITIES!$H$7:$H$15,MATCH(PLAY!$F13,CAPABILITIES!$A$7:$A$15,0)),"")</f>
        <v>0</v>
      </c>
      <c r="T13" s="13" t="n">
        <f aca="false">IFERROR(INDEX(CAPABILITIES!$D$7:$D$15,MATCH(PLAY!$F13,CAPABILITIES!$A$7:$A$15,0))*INDEX(CAPABILITIES!$I$7:$I$15,MATCH(PLAY!$F13,CAPABILITIES!$A$7:$A$15,0)),0)</f>
        <v>0</v>
      </c>
      <c r="U13" s="13" t="n">
        <f aca="false">IFERROR(INDEX(CAPABILITIES!$E$7:$E$15,MATCH(PLAY!$F13,CAPABILITIES!$A$7:$A$15,0))+INDEX(CAPABILITIES!$J$7:$J$15,MATCH(PLAY!$F13,CAPABILITIES!$A$7:$A$15,0)),0)</f>
        <v>0</v>
      </c>
      <c r="V13" s="13" t="n">
        <f aca="false">IFERROR(INDEX(CAPABILITIES!$L$7:$L$15,MATCH(PLAY!$F13,CAPABILITIES!$A$7:$A$15,0)),0)</f>
        <v>0</v>
      </c>
      <c r="W13" s="28" t="n">
        <f aca="false">CLIMATE!D13+SUMPRODUCT(($D$8:$D$12="ENSO")*($F$8:$F$12+$A$8:$A$12=$A13)*$E$8:$E$12)+SUMPRODUCT(($I$8:$I$12="ENSO")*($K$8:$K$12+$A$8:$A$12=$A13)*$J$8:$J$12)+SUMPRODUCT(($N$8:$N$12="ENSO")*($P$8:$P$12+$A$8:$A$12=$A13)*$O$8:$O$12)+SUMPRODUCT(($S$8:$S$12="ENSO")*($U$8:$U$12+$A$8:$A$12=$A13)*$T$8:$T$12)</f>
        <v>0.229</v>
      </c>
      <c r="X13" s="28" t="n">
        <f aca="false">CLIMATE!E13+SUMPRODUCT(($D$8:$D$12="IOD")*($F$8:$F$12+$A$8:$A$12=$A13)*$E$8:$E$12)+SUMPRODUCT(($I$8:$I$12="IOD")*($K$8:$K$12+$A$8:$A$12=$A13)*$J$8:$J$12)+SUMPRODUCT(($N$8:$N$12="IOD")*($P$8:$P$12+$A$8:$A$12=$A13)*$O$8:$O$12)+SUMPRODUCT(($S$8:$S$12="IOD")*($U$8:$U$12+$A$8:$A$12=$A13)*$T$8:$T$12)</f>
        <v>0.532</v>
      </c>
      <c r="Y13" s="28" t="n">
        <f aca="false">CLIMATE!F13+SUMPRODUCT(($D$8:$D$12="NATL")*($F$8:$F$12+$A$8:$A$12=$A13)*$E$8:$E$12)+SUMPRODUCT(($I$8:$I$12="NATL")*($K$8:$K$12+$A$8:$A$12=$A13)*$J$8:$J$12)+SUMPRODUCT(($N$8:$N$12="NATL")*($P$8:$P$12+$A$8:$A$12=$A13)*$O$8:$O$12)+SUMPRODUCT(($S$8:$S$12="NATL")*($U$8:$U$12+$A$8:$A$12=$A13)*$T$8:$T$12)</f>
        <v>0.941</v>
      </c>
      <c r="Z13" s="28" t="n">
        <f aca="false">CLIMATE!G13+SUMPRODUCT(($D$8:$D$12="GLOBAL")*($F$8:$F$12+$A$8:$A$12=$A13)*$E$8:$E$12)+SUMPRODUCT(($I$8:$I$12="GLOBAL")*($K$8:$K$12+$A$8:$A$12=$A13)*$J$8:$J$12)+SUMPRODUCT(($N$8:$N$12="GLOBAL")*($P$8:$P$12+$A$8:$A$12=$A13)*$O$8:$O$12)+SUMPRODUCT(($S$8:$S$12="GLOBAL")*($U$8:$U$12+$A$8:$A$12=$A13)*$T$8:$T$12)</f>
        <v>0</v>
      </c>
      <c r="AA13" s="28" t="n">
        <f aca="false">CLIMATE!H13+IFERROR(INDEX($W$8:$W$47,$A13-GRAPH!B17),0)*GRAPH!B9+IFERROR(INDEX($X$8:$X$47,$A13-GRAPH!B18),0)*GRAPH!B10+IFERROR(INDEX($Y$8:$Y$47,$A13-GRAPH!B19),0)*GRAPH!B11+IFERROR(INDEX($Z$8:$Z$47,$A13-GRAPH!B20),0)*GRAPH!B12+SUMPRODUCT(($D$8:$D$12=REGIONS!$B$7)*($F$8:$F$12+$A$8:$A$12=$A13)*$E$8:$E$12)+SUMPRODUCT(($N$8:$N$12=REGIONS!$B$7)*($P$8:$P$12+$A$8:$A$12=$A13)*$O$8:$O$12)</f>
        <v>-0.1159</v>
      </c>
      <c r="AB13" s="28" t="n">
        <f aca="false">CLIMATE!I13+IFERROR(INDEX($W$8:$W$47,$A13-GRAPH!C17),0)*GRAPH!C9+IFERROR(INDEX($X$8:$X$47,$A13-GRAPH!C18),0)*GRAPH!C10+IFERROR(INDEX($Y$8:$Y$47,$A13-GRAPH!C19),0)*GRAPH!C11+IFERROR(INDEX($Z$8:$Z$47,$A13-GRAPH!C20),0)*GRAPH!C12+SUMPRODUCT(($D$8:$D$12=REGIONS!$B$8)*($F$8:$F$12+$A$8:$A$12=$A13)*$E$8:$E$12)+SUMPRODUCT(($N$8:$N$12=REGIONS!$B$8)*($P$8:$P$12+$A$8:$A$12=$A13)*$O$8:$O$12)</f>
        <v>-0.1293</v>
      </c>
      <c r="AC13" s="28" t="n">
        <f aca="false">CLIMATE!J13+IFERROR(INDEX($W$8:$W$47,$A13-GRAPH!D17),0)*GRAPH!D9+IFERROR(INDEX($X$8:$X$47,$A13-GRAPH!D18),0)*GRAPH!D10+IFERROR(INDEX($Y$8:$Y$47,$A13-GRAPH!D19),0)*GRAPH!D11+IFERROR(INDEX($Z$8:$Z$47,$A13-GRAPH!D20),0)*GRAPH!D12+SUMPRODUCT(($D$8:$D$12=REGIONS!$B$9)*($F$8:$F$12+$A$8:$A$12=$A13)*$E$8:$E$12)+SUMPRODUCT(($N$8:$N$12=REGIONS!$B$9)*($P$8:$P$12+$A$8:$A$12=$A13)*$O$8:$O$12)</f>
        <v>0.2595</v>
      </c>
      <c r="AD13" s="28" t="n">
        <f aca="false">CLIMATE!K13+IFERROR(INDEX($W$8:$W$47,$A13-GRAPH!E17),0)*GRAPH!E9+IFERROR(INDEX($X$8:$X$47,$A13-GRAPH!E18),0)*GRAPH!E10+IFERROR(INDEX($Y$8:$Y$47,$A13-GRAPH!E19),0)*GRAPH!E11+IFERROR(INDEX($Z$8:$Z$47,$A13-GRAPH!E20),0)*GRAPH!E12+SUMPRODUCT(($D$8:$D$12=REGIONS!$B$10)*($F$8:$F$12+$A$8:$A$12=$A13)*$E$8:$E$12)+SUMPRODUCT(($N$8:$N$12=REGIONS!$B$10)*($P$8:$P$12+$A$8:$A$12=$A13)*$O$8:$O$12)</f>
        <v>-0.8956</v>
      </c>
      <c r="AE13" s="28" t="n">
        <f aca="false">CLIMATE!L13+IFERROR(INDEX($W$8:$W$47,$A13-GRAPH!F17),0)*GRAPH!F9+IFERROR(INDEX($X$8:$X$47,$A13-GRAPH!F18),0)*GRAPH!F10+IFERROR(INDEX($Y$8:$Y$47,$A13-GRAPH!F19),0)*GRAPH!F11+IFERROR(INDEX($Z$8:$Z$47,$A13-GRAPH!F20),0)*GRAPH!F12+SUMPRODUCT(($D$8:$D$12=REGIONS!$B$11)*($F$8:$F$12+$A$8:$A$12=$A13)*$E$8:$E$12)+SUMPRODUCT(($N$8:$N$12=REGIONS!$B$11)*($P$8:$P$12+$A$8:$A$12=$A13)*$O$8:$O$12)</f>
        <v>-0.6908</v>
      </c>
      <c r="AF13" s="28" t="n">
        <f aca="false">CLIMATE!M13+IFERROR(INDEX($W$8:$W$47,$A13-GRAPH!G17),0)*GRAPH!G9+IFERROR(INDEX($X$8:$X$47,$A13-GRAPH!G18),0)*GRAPH!G10+IFERROR(INDEX($Y$8:$Y$47,$A13-GRAPH!G19),0)*GRAPH!G11+IFERROR(INDEX($Z$8:$Z$47,$A13-GRAPH!G20),0)*GRAPH!G12+SUMPRODUCT(($D$8:$D$12=REGIONS!$B$12)*($F$8:$F$12+$A$8:$A$12=$A13)*$E$8:$E$12)+SUMPRODUCT(($N$8:$N$12=REGIONS!$B$12)*($P$8:$P$12+$A$8:$A$12=$A13)*$O$8:$O$12)</f>
        <v>-0.489</v>
      </c>
      <c r="AG13" s="28" t="n">
        <f aca="false">CLIMATE!N13+IFERROR(INDEX($W$8:$W$47,$A13-GRAPH!H17),0)*GRAPH!H9+IFERROR(INDEX($X$8:$X$47,$A13-GRAPH!H18),0)*GRAPH!H10+IFERROR(INDEX($Y$8:$Y$47,$A13-GRAPH!H19),0)*GRAPH!H11+IFERROR(INDEX($Z$8:$Z$47,$A13-GRAPH!H20),0)*GRAPH!H12+SUMPRODUCT(($D$8:$D$12=REGIONS!$B$13)*($F$8:$F$12+$A$8:$A$12=$A13)*$E$8:$E$12)+SUMPRODUCT(($N$8:$N$12=REGIONS!$B$13)*($P$8:$P$12+$A$8:$A$12=$A13)*$O$8:$O$12)</f>
        <v>-0.228</v>
      </c>
      <c r="AH13" s="28" t="n">
        <f aca="false">CLIMATE!O13+IFERROR(INDEX($W$8:$W$47,$A13-GRAPH!I17),0)*GRAPH!I9+IFERROR(INDEX($X$8:$X$47,$A13-GRAPH!I18),0)*GRAPH!I10+IFERROR(INDEX($Y$8:$Y$47,$A13-GRAPH!I19),0)*GRAPH!I11+IFERROR(INDEX($Z$8:$Z$47,$A13-GRAPH!I20),0)*GRAPH!I12+SUMPRODUCT(($D$8:$D$12=REGIONS!$B$14)*($F$8:$F$12+$A$8:$A$12=$A13)*$E$8:$E$12)+SUMPRODUCT(($N$8:$N$12=REGIONS!$B$14)*($P$8:$P$12+$A$8:$A$12=$A13)*$O$8:$O$12)</f>
        <v>-0.3242</v>
      </c>
      <c r="AI13" s="28" t="n">
        <f aca="false">REGIONS!$F$7*(1+ASSUMPTIONS!$B$19*$A13)</f>
        <v>0.8288</v>
      </c>
      <c r="AJ13" s="28" t="n">
        <f aca="false">REGIONS!$F$8*(1+ASSUMPTIONS!$B$19*$A13)</f>
        <v>0.9324</v>
      </c>
      <c r="AK13" s="28" t="n">
        <f aca="false">REGIONS!$F$9*(1+ASSUMPTIONS!$B$19*$A13)</f>
        <v>0.9324</v>
      </c>
      <c r="AL13" s="28" t="n">
        <f aca="false">REGIONS!$F$10*(1+ASSUMPTIONS!$B$19*$A13)</f>
        <v>0.7252</v>
      </c>
      <c r="AM13" s="28" t="n">
        <f aca="false">REGIONS!$F$11*(1+ASSUMPTIONS!$B$19*$A13)</f>
        <v>0.7252</v>
      </c>
      <c r="AN13" s="28" t="n">
        <f aca="false">REGIONS!$F$12*(1+ASSUMPTIONS!$B$19*$A13)</f>
        <v>1.1396</v>
      </c>
      <c r="AO13" s="28" t="n">
        <f aca="false">REGIONS!$F$13*(1+ASSUMPTIONS!$B$19*$A13)</f>
        <v>1.2432</v>
      </c>
      <c r="AP13" s="28" t="n">
        <f aca="false">REGIONS!$F$14*(1+ASSUMPTIONS!$B$19*$A13)</f>
        <v>1.2432</v>
      </c>
      <c r="AQ13" s="11" t="n">
        <f aca="false">SUMPRODUCT(($D$8:$D$47=REGIONS!$B$7)*($A$8:$A$47&lt;=$A13)*$L$8:$L$47)+SUMPRODUCT(($N$8:$N$47=REGIONS!$B$7)*($A$8:$A$47&lt;=$A13)*$V$8:$V$47)</f>
        <v>0</v>
      </c>
      <c r="AR13" s="11" t="n">
        <f aca="false">SUMPRODUCT(($D$8:$D$47=REGIONS!$B$8)*($A$8:$A$47&lt;=$A13)*$L$8:$L$47)+SUMPRODUCT(($N$8:$N$47=REGIONS!$B$8)*($A$8:$A$47&lt;=$A13)*$V$8:$V$47)</f>
        <v>0</v>
      </c>
      <c r="AS13" s="11" t="n">
        <f aca="false">SUMPRODUCT(($D$8:$D$47=REGIONS!$B$9)*($A$8:$A$47&lt;=$A13)*$L$8:$L$47)+SUMPRODUCT(($N$8:$N$47=REGIONS!$B$9)*($A$8:$A$47&lt;=$A13)*$V$8:$V$47)</f>
        <v>0</v>
      </c>
      <c r="AT13" s="11" t="n">
        <f aca="false">SUMPRODUCT(($D$8:$D$47=REGIONS!$B$10)*($A$8:$A$47&lt;=$A13)*$L$8:$L$47)+SUMPRODUCT(($N$8:$N$47=REGIONS!$B$10)*($A$8:$A$47&lt;=$A13)*$V$8:$V$47)</f>
        <v>0</v>
      </c>
      <c r="AU13" s="11" t="n">
        <f aca="false">SUMPRODUCT(($D$8:$D$47=REGIONS!$B$11)*($A$8:$A$47&lt;=$A13)*$L$8:$L$47)+SUMPRODUCT(($N$8:$N$47=REGIONS!$B$11)*($A$8:$A$47&lt;=$A13)*$V$8:$V$47)</f>
        <v>0</v>
      </c>
      <c r="AV13" s="11" t="n">
        <f aca="false">SUMPRODUCT(($D$8:$D$47=REGIONS!$B$12)*($A$8:$A$47&lt;=$A13)*$L$8:$L$47)+SUMPRODUCT(($N$8:$N$47=REGIONS!$B$12)*($A$8:$A$47&lt;=$A13)*$V$8:$V$47)</f>
        <v>0</v>
      </c>
      <c r="AW13" s="11" t="n">
        <f aca="false">SUMPRODUCT(($D$8:$D$47=REGIONS!$B$13)*($A$8:$A$47&lt;=$A13)*$L$8:$L$47)+SUMPRODUCT(($N$8:$N$47=REGIONS!$B$13)*($A$8:$A$47&lt;=$A13)*$V$8:$V$47)</f>
        <v>0</v>
      </c>
      <c r="AX13" s="11" t="n">
        <f aca="false">SUMPRODUCT(($D$8:$D$47=REGIONS!$B$14)*($A$8:$A$47&lt;=$A13)*$L$8:$L$47)+SUMPRODUCT(($N$8:$N$47=REGIONS!$B$14)*($A$8:$A$47&lt;=$A13)*$V$8:$V$47)</f>
        <v>0</v>
      </c>
      <c r="AY13" s="12" t="n">
        <f aca="false">MAX(0,MIN(135,100-(MAX(0,-$AA13)*REGIONS!$E$7*ASSUMPTIONS!$B$7+MAX(0,$AA13-ASSUMPTIONS!$B$9)*REGIONS!$E$7*ASSUMPTIONS!$B$8)*(1-$AQ13/100)))</f>
        <v>98.3774</v>
      </c>
      <c r="AZ13" s="12" t="n">
        <f aca="false">MAX(0,MIN(135,100-(MAX(0,-$AB13)*REGIONS!$E$8*ASSUMPTIONS!$B$7+MAX(0,$AB13-ASSUMPTIONS!$B$9)*REGIONS!$E$8*ASSUMPTIONS!$B$8)*(1-$AR13/100)))</f>
        <v>98.00878</v>
      </c>
      <c r="BA13" s="12" t="n">
        <f aca="false">MAX(0,MIN(135,100-(MAX(0,-$AC13)*REGIONS!$E$9*ASSUMPTIONS!$B$7+MAX(0,$AC13-ASSUMPTIONS!$B$9)*REGIONS!$E$9*ASSUMPTIONS!$B$8)*(1-$AS13/100)))</f>
        <v>100</v>
      </c>
      <c r="BB13" s="12" t="n">
        <f aca="false">MAX(0,MIN(135,100-(MAX(0,-$AD13)*REGIONS!$E$10*ASSUMPTIONS!$B$7+MAX(0,$AD13-ASSUMPTIONS!$B$9)*REGIONS!$E$10*ASSUMPTIONS!$B$8)*(1-$AT13/100)))</f>
        <v>84.95392</v>
      </c>
      <c r="BC13" s="12" t="n">
        <f aca="false">MAX(0,MIN(135,100-(MAX(0,-$AE13)*REGIONS!$E$11*ASSUMPTIONS!$B$7+MAX(0,$AE13-ASSUMPTIONS!$B$9)*REGIONS!$E$11*ASSUMPTIONS!$B$8)*(1-$AU13/100)))</f>
        <v>89.36168</v>
      </c>
      <c r="BD13" s="12" t="n">
        <f aca="false">MAX(0,MIN(135,100-(MAX(0,-$AF13)*REGIONS!$E$12*ASSUMPTIONS!$B$7+MAX(0,$AF13-ASSUMPTIONS!$B$9)*REGIONS!$E$12*ASSUMPTIONS!$B$8)*(1-$AV13/100)))</f>
        <v>91.1002</v>
      </c>
      <c r="BE13" s="12" t="n">
        <f aca="false">MAX(0,MIN(135,100-(MAX(0,-$AG13)*REGIONS!$E$13*ASSUMPTIONS!$B$7+MAX(0,$AG13-ASSUMPTIONS!$B$9)*REGIONS!$E$13*ASSUMPTIONS!$B$8)*(1-$AW13/100)))</f>
        <v>95.5312</v>
      </c>
      <c r="BF13" s="12" t="n">
        <f aca="false">MAX(0,MIN(135,100-(MAX(0,-$AH13)*REGIONS!$E$14*ASSUMPTIONS!$B$7+MAX(0,$AH13-ASSUMPTIONS!$B$9)*REGIONS!$E$14*ASSUMPTIONS!$B$8)*(1-$AX13/100)))</f>
        <v>93.64568</v>
      </c>
      <c r="BG13" s="12" t="n">
        <f aca="false">$AY13*REGIONS!$D$7/100+$AZ13*REGIONS!$D$8/100+$BA13*REGIONS!$D$9/100+$BB13*REGIONS!$D$10/100+$BC13*REGIONS!$D$11/100+$BD13*REGIONS!$D$12/100+$BE13*REGIONS!$D$13/100+$BF13*REGIONS!$D$14/100</f>
        <v>94.0996188</v>
      </c>
      <c r="BH13" s="12" t="n">
        <f aca="false">100*(100/MAX(1,$BG13))^ASSUMPTIONS!$B$10</f>
        <v>111.568564340886</v>
      </c>
      <c r="BI13" s="12" t="n">
        <f aca="false">$AY13*$BH13/100*ASSUMPTIONS!$B$11</f>
        <v>93.2945148935075</v>
      </c>
      <c r="BJ13" s="28" t="n">
        <f aca="false">MAX(0,ABS($AA13)-$AI13*ASSUMPTIONS!$B$24)*REGIONS!$D$7/100+MAX(0,ABS($AB13)-$AJ13*ASSUMPTIONS!$B$24)*REGIONS!$D$8/100+MAX(0,ABS($AC13)-$AK13*ASSUMPTIONS!$B$24)*REGIONS!$D$9/100+MAX(0,ABS($AD13)-$AL13*ASSUMPTIONS!$B$24)*REGIONS!$D$10/100+MAX(0,ABS($AE13)-$AM13*ASSUMPTIONS!$B$24)*REGIONS!$D$11/100+MAX(0,ABS($AF13)-$AN13*ASSUMPTIONS!$B$24)*REGIONS!$D$12/100+MAX(0,ABS($AG13)-$AO13*ASSUMPTIONS!$B$24)*REGIONS!$D$13/100+MAX(0,ABS($AH13)-$AP13*ASSUMPTIONS!$B$24)*REGIONS!$D$14/100</f>
        <v>0.080934</v>
      </c>
      <c r="BK13" s="12" t="n">
        <f aca="false">MIN(ASSUMPTIONS!$B$14,ASSUMPTIONS!$B$12+$BJ13*ASSUMPTIONS!$B$13)</f>
        <v>31.399228</v>
      </c>
      <c r="BL13" s="11" t="n">
        <f aca="false">$H13+$R13</f>
        <v>0</v>
      </c>
      <c r="BM13" s="11" t="n">
        <f aca="false">PLAY!$H13</f>
        <v>0</v>
      </c>
      <c r="BN13" s="12" t="n">
        <f aca="false">$BI13*ASSUMPTIONS!$B$15+$BK13*ASSUMPTIONS!$B$16</f>
        <v>39.4546469872209</v>
      </c>
      <c r="BO13" s="12" t="n">
        <f aca="false">$BO12+$BN13-$BL13-$BM13-ASSUMPTIONS!$B$23</f>
        <v>124.661962990452</v>
      </c>
      <c r="BP13" s="12" t="n">
        <f aca="false">(SUMPRODUCT(($F$8:$F$12+$A$8:$A$12=$A13)*($C$8:$C$12&lt;&gt;"NONE")*$G$8:$G$12)+SUMPRODUCT(($P$8:$P$12+$A$8:$A$12=$A13)*($M$8:$M$12&lt;&gt;"NONE")*$Q$8:$Q$12))*(1+ASSUMPTIONS!$B$22*(MAX(0,ABS($AA13)/$AI13-1)+MAX(0,ABS($AB13)/$AJ13-1)+MAX(0,ABS($AC13)/$AK13-1)+MAX(0,ABS($AD13)/$AL13-1)+MAX(0,ABS($AE13)/$AM13-1)+MAX(0,ABS($AF13)/$AN13-1)+MAX(0,ABS($AG13)/$AO13-1)+MAX(0,ABS($AH13)/$AP13-1))/8)</f>
        <v>0</v>
      </c>
      <c r="BQ13" s="12" t="n">
        <f aca="false">MAX(0,$BQ12*(1-ASSUMPTIONS!$B$18)+$BP13-$BM13*ASSUMPTIONS!$B$17)</f>
        <v>1.79384440813182</v>
      </c>
    </row>
    <row r="14" customFormat="false" ht="15" hidden="false" customHeight="false" outlineLevel="0" collapsed="false">
      <c r="A14" s="13" t="n">
        <v>7</v>
      </c>
      <c r="B14" s="11" t="n">
        <f aca="false">CLIMATE!B14</f>
        <v>1947</v>
      </c>
      <c r="C14" s="13" t="str">
        <f aca="false">IFERROR(INDEX(CAPABILITIES!$B$7:$B$15,MATCH(PLAY!$D14,CAPABILITIES!$A$7:$A$15,0)),"NONE")</f>
        <v>NONE</v>
      </c>
      <c r="D14" s="13" t="n">
        <f aca="false">IFERROR(IF(INDEX(CAPABILITIES!$B$7:$B$15,MATCH(PLAY!$D14,CAPABILITIES!$A$7:$A$15,0))="DRIVER",INDEX(CAPABILITIES!$C$7:$C$15,MATCH(PLAY!$D14,CAPABILITIES!$A$7:$A$15,0)),PLAY!$E14),"")</f>
        <v>0</v>
      </c>
      <c r="E14" s="13" t="n">
        <f aca="false">IFERROR(INDEX(CAPABILITIES!$D$7:$D$15,MATCH(PLAY!$D14,CAPABILITIES!$A$7:$A$15,0))*IF(INDEX(CAPABILITIES!$K$7:$K$15,MATCH(PLAY!$D14,CAPABILITIES!$A$7:$A$15,0))="Y",IF(IFERROR(INDEX($AA13:$AH13,MATCH(PLAY!$E14,REGIONS!$B$7:$B$14,0)),0)&lt;ASSUMPTIONS!$B$20,1,ASSUMPTIONS!$B$21),1),0)</f>
        <v>0</v>
      </c>
      <c r="F14" s="13" t="n">
        <f aca="false">IFERROR(INDEX(CAPABILITIES!$E$7:$E$15,MATCH(PLAY!$D14,CAPABILITIES!$A$7:$A$15,0)),0)</f>
        <v>0</v>
      </c>
      <c r="G14" s="13" t="n">
        <f aca="false">IFERROR(INDEX(CAPABILITIES!$F$7:$F$15,MATCH(PLAY!$D14,CAPABILITIES!$A$7:$A$15,0)),0)</f>
        <v>0</v>
      </c>
      <c r="H14" s="13" t="n">
        <f aca="false">IFERROR(INDEX(CAPABILITIES!$G$7:$G$15,MATCH(PLAY!$D14,CAPABILITIES!$A$7:$A$15,0)),0)</f>
        <v>0</v>
      </c>
      <c r="I14" s="13" t="n">
        <f aca="false">IFERROR(INDEX(CAPABILITIES!$H$7:$H$15,MATCH(PLAY!$D14,CAPABILITIES!$A$7:$A$15,0)),"")</f>
        <v>0</v>
      </c>
      <c r="J14" s="13" t="n">
        <f aca="false">IFERROR(INDEX(CAPABILITIES!$D$7:$D$15,MATCH(PLAY!$D14,CAPABILITIES!$A$7:$A$15,0))*INDEX(CAPABILITIES!$I$7:$I$15,MATCH(PLAY!$D14,CAPABILITIES!$A$7:$A$15,0)),0)</f>
        <v>0</v>
      </c>
      <c r="K14" s="13" t="n">
        <f aca="false">IFERROR(INDEX(CAPABILITIES!$E$7:$E$15,MATCH(PLAY!$D14,CAPABILITIES!$A$7:$A$15,0))+INDEX(CAPABILITIES!$J$7:$J$15,MATCH(PLAY!$D14,CAPABILITIES!$A$7:$A$15,0)),0)</f>
        <v>0</v>
      </c>
      <c r="L14" s="13" t="n">
        <f aca="false">IFERROR(INDEX(CAPABILITIES!$L$7:$L$15,MATCH(PLAY!$D14,CAPABILITIES!$A$7:$A$15,0)),0)</f>
        <v>0</v>
      </c>
      <c r="M14" s="13" t="str">
        <f aca="false">IFERROR(INDEX(CAPABILITIES!$B$7:$B$15,MATCH(PLAY!$F14,CAPABILITIES!$A$7:$A$15,0)),"NONE")</f>
        <v>NONE</v>
      </c>
      <c r="N14" s="13" t="n">
        <f aca="false">IFERROR(IF(INDEX(CAPABILITIES!$B$7:$B$15,MATCH(PLAY!$F14,CAPABILITIES!$A$7:$A$15,0))="DRIVER",INDEX(CAPABILITIES!$C$7:$C$15,MATCH(PLAY!$F14,CAPABILITIES!$A$7:$A$15,0)),PLAY!$G14),"")</f>
        <v>0</v>
      </c>
      <c r="O14" s="13" t="n">
        <f aca="false">IFERROR(INDEX(CAPABILITIES!$D$7:$D$15,MATCH(PLAY!$F14,CAPABILITIES!$A$7:$A$15,0))*IF(INDEX(CAPABILITIES!$K$7:$K$15,MATCH(PLAY!$F14,CAPABILITIES!$A$7:$A$15,0))="Y",IF(IFERROR(INDEX($AA13:$AH13,MATCH(PLAY!$G14,REGIONS!$B$7:$B$14,0)),0)&lt;ASSUMPTIONS!$B$20,1,ASSUMPTIONS!$B$21),1),0)</f>
        <v>0</v>
      </c>
      <c r="P14" s="13" t="n">
        <f aca="false">IFERROR(INDEX(CAPABILITIES!$E$7:$E$15,MATCH(PLAY!$F14,CAPABILITIES!$A$7:$A$15,0)),0)</f>
        <v>0</v>
      </c>
      <c r="Q14" s="13" t="n">
        <f aca="false">IFERROR(INDEX(CAPABILITIES!$F$7:$F$15,MATCH(PLAY!$F14,CAPABILITIES!$A$7:$A$15,0)),0)</f>
        <v>0</v>
      </c>
      <c r="R14" s="13" t="n">
        <f aca="false">IFERROR(INDEX(CAPABILITIES!$G$7:$G$15,MATCH(PLAY!$F14,CAPABILITIES!$A$7:$A$15,0)),0)</f>
        <v>0</v>
      </c>
      <c r="S14" s="13" t="n">
        <f aca="false">IFERROR(INDEX(CAPABILITIES!$H$7:$H$15,MATCH(PLAY!$F14,CAPABILITIES!$A$7:$A$15,0)),"")</f>
        <v>0</v>
      </c>
      <c r="T14" s="13" t="n">
        <f aca="false">IFERROR(INDEX(CAPABILITIES!$D$7:$D$15,MATCH(PLAY!$F14,CAPABILITIES!$A$7:$A$15,0))*INDEX(CAPABILITIES!$I$7:$I$15,MATCH(PLAY!$F14,CAPABILITIES!$A$7:$A$15,0)),0)</f>
        <v>0</v>
      </c>
      <c r="U14" s="13" t="n">
        <f aca="false">IFERROR(INDEX(CAPABILITIES!$E$7:$E$15,MATCH(PLAY!$F14,CAPABILITIES!$A$7:$A$15,0))+INDEX(CAPABILITIES!$J$7:$J$15,MATCH(PLAY!$F14,CAPABILITIES!$A$7:$A$15,0)),0)</f>
        <v>0</v>
      </c>
      <c r="V14" s="13" t="n">
        <f aca="false">IFERROR(INDEX(CAPABILITIES!$L$7:$L$15,MATCH(PLAY!$F14,CAPABILITIES!$A$7:$A$15,0)),0)</f>
        <v>0</v>
      </c>
      <c r="W14" s="28" t="n">
        <f aca="false">CLIMATE!D14+SUMPRODUCT(($D$8:$D$13="ENSO")*($F$8:$F$13+$A$8:$A$13=$A14)*$E$8:$E$13)+SUMPRODUCT(($I$8:$I$13="ENSO")*($K$8:$K$13+$A$8:$A$13=$A14)*$J$8:$J$13)+SUMPRODUCT(($N$8:$N$13="ENSO")*($P$8:$P$13+$A$8:$A$13=$A14)*$O$8:$O$13)+SUMPRODUCT(($S$8:$S$13="ENSO")*($U$8:$U$13+$A$8:$A$13=$A14)*$T$8:$T$13)</f>
        <v>0.048</v>
      </c>
      <c r="X14" s="28" t="n">
        <f aca="false">CLIMATE!E14+SUMPRODUCT(($D$8:$D$13="IOD")*($F$8:$F$13+$A$8:$A$13=$A14)*$E$8:$E$13)+SUMPRODUCT(($I$8:$I$13="IOD")*($K$8:$K$13+$A$8:$A$13=$A14)*$J$8:$J$13)+SUMPRODUCT(($N$8:$N$13="IOD")*($P$8:$P$13+$A$8:$A$13=$A14)*$O$8:$O$13)+SUMPRODUCT(($S$8:$S$13="IOD")*($U$8:$U$13+$A$8:$A$13=$A14)*$T$8:$T$13)</f>
        <v>0.464</v>
      </c>
      <c r="Y14" s="28" t="n">
        <f aca="false">CLIMATE!F14+SUMPRODUCT(($D$8:$D$13="NATL")*($F$8:$F$13+$A$8:$A$13=$A14)*$E$8:$E$13)+SUMPRODUCT(($I$8:$I$13="NATL")*($K$8:$K$13+$A$8:$A$13=$A14)*$J$8:$J$13)+SUMPRODUCT(($N$8:$N$13="NATL")*($P$8:$P$13+$A$8:$A$13=$A14)*$O$8:$O$13)+SUMPRODUCT(($S$8:$S$13="NATL")*($U$8:$U$13+$A$8:$A$13=$A14)*$T$8:$T$13)</f>
        <v>0.385</v>
      </c>
      <c r="Z14" s="28" t="n">
        <f aca="false">CLIMATE!G14+SUMPRODUCT(($D$8:$D$13="GLOBAL")*($F$8:$F$13+$A$8:$A$13=$A14)*$E$8:$E$13)+SUMPRODUCT(($I$8:$I$13="GLOBAL")*($K$8:$K$13+$A$8:$A$13=$A14)*$J$8:$J$13)+SUMPRODUCT(($N$8:$N$13="GLOBAL")*($P$8:$P$13+$A$8:$A$13=$A14)*$O$8:$O$13)+SUMPRODUCT(($S$8:$S$13="GLOBAL")*($U$8:$U$13+$A$8:$A$13=$A14)*$T$8:$T$13)</f>
        <v>0</v>
      </c>
      <c r="AA14" s="28" t="n">
        <f aca="false">CLIMATE!H14+IFERROR(INDEX($W$8:$W$47,$A14-GRAPH!B17),0)*GRAPH!B9+IFERROR(INDEX($X$8:$X$47,$A14-GRAPH!B18),0)*GRAPH!B10+IFERROR(INDEX($Y$8:$Y$47,$A14-GRAPH!B19),0)*GRAPH!B11+IFERROR(INDEX($Z$8:$Z$47,$A14-GRAPH!B20),0)*GRAPH!B12+SUMPRODUCT(($D$8:$D$13=REGIONS!$B$7)*($F$8:$F$13+$A$8:$A$13=$A14)*$E$8:$E$13)+SUMPRODUCT(($N$8:$N$13=REGIONS!$B$7)*($P$8:$P$13+$A$8:$A$13=$A14)*$O$8:$O$13)</f>
        <v>0.0333</v>
      </c>
      <c r="AB14" s="28" t="n">
        <f aca="false">CLIMATE!I14+IFERROR(INDEX($W$8:$W$47,$A14-GRAPH!C17),0)*GRAPH!C9+IFERROR(INDEX($X$8:$X$47,$A14-GRAPH!C18),0)*GRAPH!C10+IFERROR(INDEX($Y$8:$Y$47,$A14-GRAPH!C19),0)*GRAPH!C11+IFERROR(INDEX($Z$8:$Z$47,$A14-GRAPH!C20),0)*GRAPH!C12+SUMPRODUCT(($D$8:$D$13=REGIONS!$B$8)*($F$8:$F$13+$A$8:$A$13=$A14)*$E$8:$E$13)+SUMPRODUCT(($N$8:$N$13=REGIONS!$B$8)*($P$8:$P$13+$A$8:$A$13=$A14)*$O$8:$O$13)</f>
        <v>-0.2297</v>
      </c>
      <c r="AC14" s="28" t="n">
        <f aca="false">CLIMATE!J14+IFERROR(INDEX($W$8:$W$47,$A14-GRAPH!D17),0)*GRAPH!D9+IFERROR(INDEX($X$8:$X$47,$A14-GRAPH!D18),0)*GRAPH!D10+IFERROR(INDEX($Y$8:$Y$47,$A14-GRAPH!D19),0)*GRAPH!D11+IFERROR(INDEX($Z$8:$Z$47,$A14-GRAPH!D20),0)*GRAPH!D12+SUMPRODUCT(($D$8:$D$13=REGIONS!$B$9)*($F$8:$F$13+$A$8:$A$13=$A14)*$E$8:$E$13)+SUMPRODUCT(($N$8:$N$13=REGIONS!$B$9)*($P$8:$P$13+$A$8:$A$13=$A14)*$O$8:$O$13)</f>
        <v>0.053</v>
      </c>
      <c r="AD14" s="28" t="n">
        <f aca="false">CLIMATE!K14+IFERROR(INDEX($W$8:$W$47,$A14-GRAPH!E17),0)*GRAPH!E9+IFERROR(INDEX($X$8:$X$47,$A14-GRAPH!E18),0)*GRAPH!E10+IFERROR(INDEX($Y$8:$Y$47,$A14-GRAPH!E19),0)*GRAPH!E11+IFERROR(INDEX($Z$8:$Z$47,$A14-GRAPH!E20),0)*GRAPH!E12+SUMPRODUCT(($D$8:$D$13=REGIONS!$B$10)*($F$8:$F$13+$A$8:$A$13=$A14)*$E$8:$E$13)+SUMPRODUCT(($N$8:$N$13=REGIONS!$B$10)*($P$8:$P$13+$A$8:$A$13=$A14)*$O$8:$O$13)</f>
        <v>0.1745</v>
      </c>
      <c r="AE14" s="28" t="n">
        <f aca="false">CLIMATE!L14+IFERROR(INDEX($W$8:$W$47,$A14-GRAPH!F17),0)*GRAPH!F9+IFERROR(INDEX($X$8:$X$47,$A14-GRAPH!F18),0)*GRAPH!F10+IFERROR(INDEX($Y$8:$Y$47,$A14-GRAPH!F19),0)*GRAPH!F11+IFERROR(INDEX($Z$8:$Z$47,$A14-GRAPH!F20),0)*GRAPH!F12+SUMPRODUCT(($D$8:$D$13=REGIONS!$B$11)*($F$8:$F$13+$A$8:$A$13=$A14)*$E$8:$E$13)+SUMPRODUCT(($N$8:$N$13=REGIONS!$B$11)*($P$8:$P$13+$A$8:$A$13=$A14)*$O$8:$O$13)</f>
        <v>-0.4287</v>
      </c>
      <c r="AF14" s="28" t="n">
        <f aca="false">CLIMATE!M14+IFERROR(INDEX($W$8:$W$47,$A14-GRAPH!G17),0)*GRAPH!G9+IFERROR(INDEX($X$8:$X$47,$A14-GRAPH!G18),0)*GRAPH!G10+IFERROR(INDEX($Y$8:$Y$47,$A14-GRAPH!G19),0)*GRAPH!G11+IFERROR(INDEX($Z$8:$Z$47,$A14-GRAPH!G20),0)*GRAPH!G12+SUMPRODUCT(($D$8:$D$13=REGIONS!$B$12)*($F$8:$F$13+$A$8:$A$13=$A14)*$E$8:$E$13)+SUMPRODUCT(($N$8:$N$13=REGIONS!$B$12)*($P$8:$P$13+$A$8:$A$13=$A14)*$O$8:$O$13)</f>
        <v>-0.8723</v>
      </c>
      <c r="AG14" s="28" t="n">
        <f aca="false">CLIMATE!N14+IFERROR(INDEX($W$8:$W$47,$A14-GRAPH!H17),0)*GRAPH!H9+IFERROR(INDEX($X$8:$X$47,$A14-GRAPH!H18),0)*GRAPH!H10+IFERROR(INDEX($Y$8:$Y$47,$A14-GRAPH!H19),0)*GRAPH!H11+IFERROR(INDEX($Z$8:$Z$47,$A14-GRAPH!H20),0)*GRAPH!H12+SUMPRODUCT(($D$8:$D$13=REGIONS!$B$13)*($F$8:$F$13+$A$8:$A$13=$A14)*$E$8:$E$13)+SUMPRODUCT(($N$8:$N$13=REGIONS!$B$13)*($P$8:$P$13+$A$8:$A$13=$A14)*$O$8:$O$13)</f>
        <v>0.0745</v>
      </c>
      <c r="AH14" s="28" t="n">
        <f aca="false">CLIMATE!O14+IFERROR(INDEX($W$8:$W$47,$A14-GRAPH!I17),0)*GRAPH!I9+IFERROR(INDEX($X$8:$X$47,$A14-GRAPH!I18),0)*GRAPH!I10+IFERROR(INDEX($Y$8:$Y$47,$A14-GRAPH!I19),0)*GRAPH!I11+IFERROR(INDEX($Z$8:$Z$47,$A14-GRAPH!I20),0)*GRAPH!I12+SUMPRODUCT(($D$8:$D$13=REGIONS!$B$14)*($F$8:$F$13+$A$8:$A$13=$A14)*$E$8:$E$13)+SUMPRODUCT(($N$8:$N$13=REGIONS!$B$14)*($P$8:$P$13+$A$8:$A$13=$A14)*$O$8:$O$13)</f>
        <v>0.6906</v>
      </c>
      <c r="AI14" s="28" t="n">
        <f aca="false">REGIONS!$F$7*(1+ASSUMPTIONS!$B$19*$A14)</f>
        <v>0.8336</v>
      </c>
      <c r="AJ14" s="28" t="n">
        <f aca="false">REGIONS!$F$8*(1+ASSUMPTIONS!$B$19*$A14)</f>
        <v>0.9378</v>
      </c>
      <c r="AK14" s="28" t="n">
        <f aca="false">REGIONS!$F$9*(1+ASSUMPTIONS!$B$19*$A14)</f>
        <v>0.9378</v>
      </c>
      <c r="AL14" s="28" t="n">
        <f aca="false">REGIONS!$F$10*(1+ASSUMPTIONS!$B$19*$A14)</f>
        <v>0.7294</v>
      </c>
      <c r="AM14" s="28" t="n">
        <f aca="false">REGIONS!$F$11*(1+ASSUMPTIONS!$B$19*$A14)</f>
        <v>0.7294</v>
      </c>
      <c r="AN14" s="28" t="n">
        <f aca="false">REGIONS!$F$12*(1+ASSUMPTIONS!$B$19*$A14)</f>
        <v>1.1462</v>
      </c>
      <c r="AO14" s="28" t="n">
        <f aca="false">REGIONS!$F$13*(1+ASSUMPTIONS!$B$19*$A14)</f>
        <v>1.2504</v>
      </c>
      <c r="AP14" s="28" t="n">
        <f aca="false">REGIONS!$F$14*(1+ASSUMPTIONS!$B$19*$A14)</f>
        <v>1.2504</v>
      </c>
      <c r="AQ14" s="11" t="n">
        <f aca="false">SUMPRODUCT(($D$8:$D$47=REGIONS!$B$7)*($A$8:$A$47&lt;=$A14)*$L$8:$L$47)+SUMPRODUCT(($N$8:$N$47=REGIONS!$B$7)*($A$8:$A$47&lt;=$A14)*$V$8:$V$47)</f>
        <v>0</v>
      </c>
      <c r="AR14" s="11" t="n">
        <f aca="false">SUMPRODUCT(($D$8:$D$47=REGIONS!$B$8)*($A$8:$A$47&lt;=$A14)*$L$8:$L$47)+SUMPRODUCT(($N$8:$N$47=REGIONS!$B$8)*($A$8:$A$47&lt;=$A14)*$V$8:$V$47)</f>
        <v>0</v>
      </c>
      <c r="AS14" s="11" t="n">
        <f aca="false">SUMPRODUCT(($D$8:$D$47=REGIONS!$B$9)*($A$8:$A$47&lt;=$A14)*$L$8:$L$47)+SUMPRODUCT(($N$8:$N$47=REGIONS!$B$9)*($A$8:$A$47&lt;=$A14)*$V$8:$V$47)</f>
        <v>0</v>
      </c>
      <c r="AT14" s="11" t="n">
        <f aca="false">SUMPRODUCT(($D$8:$D$47=REGIONS!$B$10)*($A$8:$A$47&lt;=$A14)*$L$8:$L$47)+SUMPRODUCT(($N$8:$N$47=REGIONS!$B$10)*($A$8:$A$47&lt;=$A14)*$V$8:$V$47)</f>
        <v>0</v>
      </c>
      <c r="AU14" s="11" t="n">
        <f aca="false">SUMPRODUCT(($D$8:$D$47=REGIONS!$B$11)*($A$8:$A$47&lt;=$A14)*$L$8:$L$47)+SUMPRODUCT(($N$8:$N$47=REGIONS!$B$11)*($A$8:$A$47&lt;=$A14)*$V$8:$V$47)</f>
        <v>0</v>
      </c>
      <c r="AV14" s="11" t="n">
        <f aca="false">SUMPRODUCT(($D$8:$D$47=REGIONS!$B$12)*($A$8:$A$47&lt;=$A14)*$L$8:$L$47)+SUMPRODUCT(($N$8:$N$47=REGIONS!$B$12)*($A$8:$A$47&lt;=$A14)*$V$8:$V$47)</f>
        <v>0</v>
      </c>
      <c r="AW14" s="11" t="n">
        <f aca="false">SUMPRODUCT(($D$8:$D$47=REGIONS!$B$13)*($A$8:$A$47&lt;=$A14)*$L$8:$L$47)+SUMPRODUCT(($N$8:$N$47=REGIONS!$B$13)*($A$8:$A$47&lt;=$A14)*$V$8:$V$47)</f>
        <v>0</v>
      </c>
      <c r="AX14" s="11" t="n">
        <f aca="false">SUMPRODUCT(($D$8:$D$47=REGIONS!$B$14)*($A$8:$A$47&lt;=$A14)*$L$8:$L$47)+SUMPRODUCT(($N$8:$N$47=REGIONS!$B$14)*($A$8:$A$47&lt;=$A14)*$V$8:$V$47)</f>
        <v>0</v>
      </c>
      <c r="AY14" s="12" t="n">
        <f aca="false">MAX(0,MIN(135,100-(MAX(0,-$AA14)*REGIONS!$E$7*ASSUMPTIONS!$B$7+MAX(0,$AA14-ASSUMPTIONS!$B$9)*REGIONS!$E$7*ASSUMPTIONS!$B$8)*(1-$AQ14/100)))</f>
        <v>100</v>
      </c>
      <c r="AZ14" s="12" t="n">
        <f aca="false">MAX(0,MIN(135,100-(MAX(0,-$AB14)*REGIONS!$E$8*ASSUMPTIONS!$B$7+MAX(0,$AB14-ASSUMPTIONS!$B$9)*REGIONS!$E$8*ASSUMPTIONS!$B$8)*(1-$AR14/100)))</f>
        <v>96.46262</v>
      </c>
      <c r="BA14" s="12" t="n">
        <f aca="false">MAX(0,MIN(135,100-(MAX(0,-$AC14)*REGIONS!$E$9*ASSUMPTIONS!$B$7+MAX(0,$AC14-ASSUMPTIONS!$B$9)*REGIONS!$E$9*ASSUMPTIONS!$B$8)*(1-$AS14/100)))</f>
        <v>100</v>
      </c>
      <c r="BB14" s="12" t="n">
        <f aca="false">MAX(0,MIN(135,100-(MAX(0,-$AD14)*REGIONS!$E$10*ASSUMPTIONS!$B$7+MAX(0,$AD14-ASSUMPTIONS!$B$9)*REGIONS!$E$10*ASSUMPTIONS!$B$8)*(1-$AT14/100)))</f>
        <v>100</v>
      </c>
      <c r="BC14" s="12" t="n">
        <f aca="false">MAX(0,MIN(135,100-(MAX(0,-$AE14)*REGIONS!$E$11*ASSUMPTIONS!$B$7+MAX(0,$AE14-ASSUMPTIONS!$B$9)*REGIONS!$E$11*ASSUMPTIONS!$B$8)*(1-$AU14/100)))</f>
        <v>93.39802</v>
      </c>
      <c r="BD14" s="12" t="n">
        <f aca="false">MAX(0,MIN(135,100-(MAX(0,-$AF14)*REGIONS!$E$12*ASSUMPTIONS!$B$7+MAX(0,$AF14-ASSUMPTIONS!$B$9)*REGIONS!$E$12*ASSUMPTIONS!$B$8)*(1-$AV14/100)))</f>
        <v>84.12414</v>
      </c>
      <c r="BE14" s="12" t="n">
        <f aca="false">MAX(0,MIN(135,100-(MAX(0,-$AG14)*REGIONS!$E$13*ASSUMPTIONS!$B$7+MAX(0,$AG14-ASSUMPTIONS!$B$9)*REGIONS!$E$13*ASSUMPTIONS!$B$8)*(1-$AW14/100)))</f>
        <v>100</v>
      </c>
      <c r="BF14" s="12" t="n">
        <f aca="false">MAX(0,MIN(135,100-(MAX(0,-$AH14)*REGIONS!$E$14*ASSUMPTIONS!$B$7+MAX(0,$AH14-ASSUMPTIONS!$B$9)*REGIONS!$E$14*ASSUMPTIONS!$B$8)*(1-$AX14/100)))</f>
        <v>100</v>
      </c>
      <c r="BG14" s="12" t="n">
        <f aca="false">$AY14*REGIONS!$D$7/100+$AZ14*REGIONS!$D$8/100+$BA14*REGIONS!$D$9/100+$BB14*REGIONS!$D$10/100+$BC14*REGIONS!$D$11/100+$BD14*REGIONS!$D$12/100+$BE14*REGIONS!$D$13/100+$BF14*REGIONS!$D$14/100</f>
        <v>97.5304714</v>
      </c>
      <c r="BH14" s="12" t="n">
        <f aca="false">100*(100/MAX(1,$BG14))^ASSUMPTIONS!$B$10</f>
        <v>104.603789485384</v>
      </c>
      <c r="BI14" s="12" t="n">
        <f aca="false">$AY14*$BH14/100*ASSUMPTIONS!$B$11</f>
        <v>88.9132210625761</v>
      </c>
      <c r="BJ14" s="28" t="n">
        <f aca="false">MAX(0,ABS($AA14)-$AI14*ASSUMPTIONS!$B$24)*REGIONS!$D$7/100+MAX(0,ABS($AB14)-$AJ14*ASSUMPTIONS!$B$24)*REGIONS!$D$8/100+MAX(0,ABS($AC14)-$AK14*ASSUMPTIONS!$B$24)*REGIONS!$D$9/100+MAX(0,ABS($AD14)-$AL14*ASSUMPTIONS!$B$24)*REGIONS!$D$10/100+MAX(0,ABS($AE14)-$AM14*ASSUMPTIONS!$B$24)*REGIONS!$D$11/100+MAX(0,ABS($AF14)-$AN14*ASSUMPTIONS!$B$24)*REGIONS!$D$12/100+MAX(0,ABS($AG14)-$AO14*ASSUMPTIONS!$B$24)*REGIONS!$D$13/100+MAX(0,ABS($AH14)-$AP14*ASSUMPTIONS!$B$24)*REGIONS!$D$14/100</f>
        <v>0.000885499999999988</v>
      </c>
      <c r="BK14" s="12" t="n">
        <f aca="false">MIN(ASSUMPTIONS!$B$14,ASSUMPTIONS!$B$12+$BJ14*ASSUMPTIONS!$B$13)</f>
        <v>28.037191</v>
      </c>
      <c r="BL14" s="11" t="n">
        <f aca="false">$H14+$R14</f>
        <v>0</v>
      </c>
      <c r="BM14" s="11" t="n">
        <f aca="false">PLAY!$H14</f>
        <v>0</v>
      </c>
      <c r="BN14" s="12" t="n">
        <f aca="false">$BI14*ASSUMPTIONS!$B$15+$BK14*ASSUMPTIONS!$B$16</f>
        <v>35.9030584275091</v>
      </c>
      <c r="BO14" s="12" t="n">
        <f aca="false">$BO13+$BN14-$BL14-$BM14-ASSUMPTIONS!$B$23</f>
        <v>128.565021417962</v>
      </c>
      <c r="BP14" s="12" t="n">
        <f aca="false">(SUMPRODUCT(($F$8:$F$13+$A$8:$A$13=$A14)*($C$8:$C$13&lt;&gt;"NONE")*$G$8:$G$13)+SUMPRODUCT(($P$8:$P$13+$A$8:$A$13=$A14)*($M$8:$M$13&lt;&gt;"NONE")*$Q$8:$Q$13))*(1+ASSUMPTIONS!$B$22*(MAX(0,ABS($AA14)/$AI14-1)+MAX(0,ABS($AB14)/$AJ14-1)+MAX(0,ABS($AC14)/$AK14-1)+MAX(0,ABS($AD14)/$AL14-1)+MAX(0,ABS($AE14)/$AM14-1)+MAX(0,ABS($AF14)/$AN14-1)+MAX(0,ABS($AG14)/$AO14-1)+MAX(0,ABS($AH14)/$AP14-1))/8)</f>
        <v>0</v>
      </c>
      <c r="BQ14" s="12" t="n">
        <f aca="false">MAX(0,$BQ13*(1-ASSUMPTIONS!$B$18)+$BP14-$BM14*ASSUMPTIONS!$B$17)</f>
        <v>1.72209063180655</v>
      </c>
    </row>
    <row r="15" customFormat="false" ht="15" hidden="false" customHeight="false" outlineLevel="0" collapsed="false">
      <c r="A15" s="13" t="n">
        <v>8</v>
      </c>
      <c r="B15" s="11" t="n">
        <f aca="false">CLIMATE!B15</f>
        <v>1947</v>
      </c>
      <c r="C15" s="13" t="str">
        <f aca="false">IFERROR(INDEX(CAPABILITIES!$B$7:$B$15,MATCH(PLAY!$D15,CAPABILITIES!$A$7:$A$15,0)),"NONE")</f>
        <v>NONE</v>
      </c>
      <c r="D15" s="13" t="n">
        <f aca="false">IFERROR(IF(INDEX(CAPABILITIES!$B$7:$B$15,MATCH(PLAY!$D15,CAPABILITIES!$A$7:$A$15,0))="DRIVER",INDEX(CAPABILITIES!$C$7:$C$15,MATCH(PLAY!$D15,CAPABILITIES!$A$7:$A$15,0)),PLAY!$E15),"")</f>
        <v>0</v>
      </c>
      <c r="E15" s="13" t="n">
        <f aca="false">IFERROR(INDEX(CAPABILITIES!$D$7:$D$15,MATCH(PLAY!$D15,CAPABILITIES!$A$7:$A$15,0))*IF(INDEX(CAPABILITIES!$K$7:$K$15,MATCH(PLAY!$D15,CAPABILITIES!$A$7:$A$15,0))="Y",IF(IFERROR(INDEX($AA14:$AH14,MATCH(PLAY!$E15,REGIONS!$B$7:$B$14,0)),0)&lt;ASSUMPTIONS!$B$20,1,ASSUMPTIONS!$B$21),1),0)</f>
        <v>0</v>
      </c>
      <c r="F15" s="13" t="n">
        <f aca="false">IFERROR(INDEX(CAPABILITIES!$E$7:$E$15,MATCH(PLAY!$D15,CAPABILITIES!$A$7:$A$15,0)),0)</f>
        <v>0</v>
      </c>
      <c r="G15" s="13" t="n">
        <f aca="false">IFERROR(INDEX(CAPABILITIES!$F$7:$F$15,MATCH(PLAY!$D15,CAPABILITIES!$A$7:$A$15,0)),0)</f>
        <v>0</v>
      </c>
      <c r="H15" s="13" t="n">
        <f aca="false">IFERROR(INDEX(CAPABILITIES!$G$7:$G$15,MATCH(PLAY!$D15,CAPABILITIES!$A$7:$A$15,0)),0)</f>
        <v>0</v>
      </c>
      <c r="I15" s="13" t="n">
        <f aca="false">IFERROR(INDEX(CAPABILITIES!$H$7:$H$15,MATCH(PLAY!$D15,CAPABILITIES!$A$7:$A$15,0)),"")</f>
        <v>0</v>
      </c>
      <c r="J15" s="13" t="n">
        <f aca="false">IFERROR(INDEX(CAPABILITIES!$D$7:$D$15,MATCH(PLAY!$D15,CAPABILITIES!$A$7:$A$15,0))*INDEX(CAPABILITIES!$I$7:$I$15,MATCH(PLAY!$D15,CAPABILITIES!$A$7:$A$15,0)),0)</f>
        <v>0</v>
      </c>
      <c r="K15" s="13" t="n">
        <f aca="false">IFERROR(INDEX(CAPABILITIES!$E$7:$E$15,MATCH(PLAY!$D15,CAPABILITIES!$A$7:$A$15,0))+INDEX(CAPABILITIES!$J$7:$J$15,MATCH(PLAY!$D15,CAPABILITIES!$A$7:$A$15,0)),0)</f>
        <v>0</v>
      </c>
      <c r="L15" s="13" t="n">
        <f aca="false">IFERROR(INDEX(CAPABILITIES!$L$7:$L$15,MATCH(PLAY!$D15,CAPABILITIES!$A$7:$A$15,0)),0)</f>
        <v>0</v>
      </c>
      <c r="M15" s="13" t="str">
        <f aca="false">IFERROR(INDEX(CAPABILITIES!$B$7:$B$15,MATCH(PLAY!$F15,CAPABILITIES!$A$7:$A$15,0)),"NONE")</f>
        <v>NONE</v>
      </c>
      <c r="N15" s="13" t="n">
        <f aca="false">IFERROR(IF(INDEX(CAPABILITIES!$B$7:$B$15,MATCH(PLAY!$F15,CAPABILITIES!$A$7:$A$15,0))="DRIVER",INDEX(CAPABILITIES!$C$7:$C$15,MATCH(PLAY!$F15,CAPABILITIES!$A$7:$A$15,0)),PLAY!$G15),"")</f>
        <v>0</v>
      </c>
      <c r="O15" s="13" t="n">
        <f aca="false">IFERROR(INDEX(CAPABILITIES!$D$7:$D$15,MATCH(PLAY!$F15,CAPABILITIES!$A$7:$A$15,0))*IF(INDEX(CAPABILITIES!$K$7:$K$15,MATCH(PLAY!$F15,CAPABILITIES!$A$7:$A$15,0))="Y",IF(IFERROR(INDEX($AA14:$AH14,MATCH(PLAY!$G15,REGIONS!$B$7:$B$14,0)),0)&lt;ASSUMPTIONS!$B$20,1,ASSUMPTIONS!$B$21),1),0)</f>
        <v>0</v>
      </c>
      <c r="P15" s="13" t="n">
        <f aca="false">IFERROR(INDEX(CAPABILITIES!$E$7:$E$15,MATCH(PLAY!$F15,CAPABILITIES!$A$7:$A$15,0)),0)</f>
        <v>0</v>
      </c>
      <c r="Q15" s="13" t="n">
        <f aca="false">IFERROR(INDEX(CAPABILITIES!$F$7:$F$15,MATCH(PLAY!$F15,CAPABILITIES!$A$7:$A$15,0)),0)</f>
        <v>0</v>
      </c>
      <c r="R15" s="13" t="n">
        <f aca="false">IFERROR(INDEX(CAPABILITIES!$G$7:$G$15,MATCH(PLAY!$F15,CAPABILITIES!$A$7:$A$15,0)),0)</f>
        <v>0</v>
      </c>
      <c r="S15" s="13" t="n">
        <f aca="false">IFERROR(INDEX(CAPABILITIES!$H$7:$H$15,MATCH(PLAY!$F15,CAPABILITIES!$A$7:$A$15,0)),"")</f>
        <v>0</v>
      </c>
      <c r="T15" s="13" t="n">
        <f aca="false">IFERROR(INDEX(CAPABILITIES!$D$7:$D$15,MATCH(PLAY!$F15,CAPABILITIES!$A$7:$A$15,0))*INDEX(CAPABILITIES!$I$7:$I$15,MATCH(PLAY!$F15,CAPABILITIES!$A$7:$A$15,0)),0)</f>
        <v>0</v>
      </c>
      <c r="U15" s="13" t="n">
        <f aca="false">IFERROR(INDEX(CAPABILITIES!$E$7:$E$15,MATCH(PLAY!$F15,CAPABILITIES!$A$7:$A$15,0))+INDEX(CAPABILITIES!$J$7:$J$15,MATCH(PLAY!$F15,CAPABILITIES!$A$7:$A$15,0)),0)</f>
        <v>0</v>
      </c>
      <c r="V15" s="13" t="n">
        <f aca="false">IFERROR(INDEX(CAPABILITIES!$L$7:$L$15,MATCH(PLAY!$F15,CAPABILITIES!$A$7:$A$15,0)),0)</f>
        <v>0</v>
      </c>
      <c r="W15" s="28" t="n">
        <f aca="false">CLIMATE!D15+SUMPRODUCT(($D$8:$D$14="ENSO")*($F$8:$F$14+$A$8:$A$14=$A15)*$E$8:$E$14)+SUMPRODUCT(($I$8:$I$14="ENSO")*($K$8:$K$14+$A$8:$A$14=$A15)*$J$8:$J$14)+SUMPRODUCT(($N$8:$N$14="ENSO")*($P$8:$P$14+$A$8:$A$14=$A15)*$O$8:$O$14)+SUMPRODUCT(($S$8:$S$14="ENSO")*($U$8:$U$14+$A$8:$A$14=$A15)*$T$8:$T$14)</f>
        <v>-0.85</v>
      </c>
      <c r="X15" s="28" t="n">
        <f aca="false">CLIMATE!E15+SUMPRODUCT(($D$8:$D$14="IOD")*($F$8:$F$14+$A$8:$A$14=$A15)*$E$8:$E$14)+SUMPRODUCT(($I$8:$I$14="IOD")*($K$8:$K$14+$A$8:$A$14=$A15)*$J$8:$J$14)+SUMPRODUCT(($N$8:$N$14="IOD")*($P$8:$P$14+$A$8:$A$14=$A15)*$O$8:$O$14)+SUMPRODUCT(($S$8:$S$14="IOD")*($U$8:$U$14+$A$8:$A$14=$A15)*$T$8:$T$14)</f>
        <v>0.368</v>
      </c>
      <c r="Y15" s="28" t="n">
        <f aca="false">CLIMATE!F15+SUMPRODUCT(($D$8:$D$14="NATL")*($F$8:$F$14+$A$8:$A$14=$A15)*$E$8:$E$14)+SUMPRODUCT(($I$8:$I$14="NATL")*($K$8:$K$14+$A$8:$A$14=$A15)*$J$8:$J$14)+SUMPRODUCT(($N$8:$N$14="NATL")*($P$8:$P$14+$A$8:$A$14=$A15)*$O$8:$O$14)+SUMPRODUCT(($S$8:$S$14="NATL")*($U$8:$U$14+$A$8:$A$14=$A15)*$T$8:$T$14)</f>
        <v>0.602</v>
      </c>
      <c r="Z15" s="28" t="n">
        <f aca="false">CLIMATE!G15+SUMPRODUCT(($D$8:$D$14="GLOBAL")*($F$8:$F$14+$A$8:$A$14=$A15)*$E$8:$E$14)+SUMPRODUCT(($I$8:$I$14="GLOBAL")*($K$8:$K$14+$A$8:$A$14=$A15)*$J$8:$J$14)+SUMPRODUCT(($N$8:$N$14="GLOBAL")*($P$8:$P$14+$A$8:$A$14=$A15)*$O$8:$O$14)+SUMPRODUCT(($S$8:$S$14="GLOBAL")*($U$8:$U$14+$A$8:$A$14=$A15)*$T$8:$T$14)</f>
        <v>0</v>
      </c>
      <c r="AA15" s="28" t="n">
        <f aca="false">CLIMATE!H15+IFERROR(INDEX($W$8:$W$47,$A15-GRAPH!B17),0)*GRAPH!B9+IFERROR(INDEX($X$8:$X$47,$A15-GRAPH!B18),0)*GRAPH!B10+IFERROR(INDEX($Y$8:$Y$47,$A15-GRAPH!B19),0)*GRAPH!B11+IFERROR(INDEX($Z$8:$Z$47,$A15-GRAPH!B20),0)*GRAPH!B12+SUMPRODUCT(($D$8:$D$14=REGIONS!$B$7)*($F$8:$F$14+$A$8:$A$14=$A15)*$E$8:$E$14)+SUMPRODUCT(($N$8:$N$14=REGIONS!$B$7)*($P$8:$P$14+$A$8:$A$14=$A15)*$O$8:$O$14)</f>
        <v>-0.1755</v>
      </c>
      <c r="AB15" s="28" t="n">
        <f aca="false">CLIMATE!I15+IFERROR(INDEX($W$8:$W$47,$A15-GRAPH!C17),0)*GRAPH!C9+IFERROR(INDEX($X$8:$X$47,$A15-GRAPH!C18),0)*GRAPH!C10+IFERROR(INDEX($Y$8:$Y$47,$A15-GRAPH!C19),0)*GRAPH!C11+IFERROR(INDEX($Z$8:$Z$47,$A15-GRAPH!C20),0)*GRAPH!C12+SUMPRODUCT(($D$8:$D$14=REGIONS!$B$8)*($F$8:$F$14+$A$8:$A$14=$A15)*$E$8:$E$14)+SUMPRODUCT(($N$8:$N$14=REGIONS!$B$8)*($P$8:$P$14+$A$8:$A$14=$A15)*$O$8:$O$14)</f>
        <v>-0.3146</v>
      </c>
      <c r="AC15" s="28" t="n">
        <f aca="false">CLIMATE!J15+IFERROR(INDEX($W$8:$W$47,$A15-GRAPH!D17),0)*GRAPH!D9+IFERROR(INDEX($X$8:$X$47,$A15-GRAPH!D18),0)*GRAPH!D10+IFERROR(INDEX($Y$8:$Y$47,$A15-GRAPH!D19),0)*GRAPH!D11+IFERROR(INDEX($Z$8:$Z$47,$A15-GRAPH!D20),0)*GRAPH!D12+SUMPRODUCT(($D$8:$D$14=REGIONS!$B$9)*($F$8:$F$14+$A$8:$A$14=$A15)*$E$8:$E$14)+SUMPRODUCT(($N$8:$N$14=REGIONS!$B$9)*($P$8:$P$14+$A$8:$A$14=$A15)*$O$8:$O$14)</f>
        <v>0.2825</v>
      </c>
      <c r="AD15" s="28" t="n">
        <f aca="false">CLIMATE!K15+IFERROR(INDEX($W$8:$W$47,$A15-GRAPH!E17),0)*GRAPH!E9+IFERROR(INDEX($X$8:$X$47,$A15-GRAPH!E18),0)*GRAPH!E10+IFERROR(INDEX($Y$8:$Y$47,$A15-GRAPH!E19),0)*GRAPH!E11+IFERROR(INDEX($Z$8:$Z$47,$A15-GRAPH!E20),0)*GRAPH!E12+SUMPRODUCT(($D$8:$D$14=REGIONS!$B$10)*($F$8:$F$14+$A$8:$A$14=$A15)*$E$8:$E$14)+SUMPRODUCT(($N$8:$N$14=REGIONS!$B$10)*($P$8:$P$14+$A$8:$A$14=$A15)*$O$8:$O$14)</f>
        <v>0.2754</v>
      </c>
      <c r="AE15" s="28" t="n">
        <f aca="false">CLIMATE!L15+IFERROR(INDEX($W$8:$W$47,$A15-GRAPH!F17),0)*GRAPH!F9+IFERROR(INDEX($X$8:$X$47,$A15-GRAPH!F18),0)*GRAPH!F10+IFERROR(INDEX($Y$8:$Y$47,$A15-GRAPH!F19),0)*GRAPH!F11+IFERROR(INDEX($Z$8:$Z$47,$A15-GRAPH!F20),0)*GRAPH!F12+SUMPRODUCT(($D$8:$D$14=REGIONS!$B$11)*($F$8:$F$14+$A$8:$A$14=$A15)*$E$8:$E$14)+SUMPRODUCT(($N$8:$N$14=REGIONS!$B$11)*($P$8:$P$14+$A$8:$A$14=$A15)*$O$8:$O$14)</f>
        <v>-0.3504</v>
      </c>
      <c r="AF15" s="28" t="n">
        <f aca="false">CLIMATE!M15+IFERROR(INDEX($W$8:$W$47,$A15-GRAPH!G17),0)*GRAPH!G9+IFERROR(INDEX($X$8:$X$47,$A15-GRAPH!G18),0)*GRAPH!G10+IFERROR(INDEX($Y$8:$Y$47,$A15-GRAPH!G19),0)*GRAPH!G11+IFERROR(INDEX($Z$8:$Z$47,$A15-GRAPH!G20),0)*GRAPH!G12+SUMPRODUCT(($D$8:$D$14=REGIONS!$B$12)*($F$8:$F$14+$A$8:$A$14=$A15)*$E$8:$E$14)+SUMPRODUCT(($N$8:$N$14=REGIONS!$B$12)*($P$8:$P$14+$A$8:$A$14=$A15)*$O$8:$O$14)</f>
        <v>-0.2426</v>
      </c>
      <c r="AG15" s="28" t="n">
        <f aca="false">CLIMATE!N15+IFERROR(INDEX($W$8:$W$47,$A15-GRAPH!H17),0)*GRAPH!H9+IFERROR(INDEX($X$8:$X$47,$A15-GRAPH!H18),0)*GRAPH!H10+IFERROR(INDEX($Y$8:$Y$47,$A15-GRAPH!H19),0)*GRAPH!H11+IFERROR(INDEX($Z$8:$Z$47,$A15-GRAPH!H20),0)*GRAPH!H12+SUMPRODUCT(($D$8:$D$14=REGIONS!$B$13)*($F$8:$F$14+$A$8:$A$14=$A15)*$E$8:$E$14)+SUMPRODUCT(($N$8:$N$14=REGIONS!$B$13)*($P$8:$P$14+$A$8:$A$14=$A15)*$O$8:$O$14)</f>
        <v>0.5262</v>
      </c>
      <c r="AH15" s="28" t="n">
        <f aca="false">CLIMATE!O15+IFERROR(INDEX($W$8:$W$47,$A15-GRAPH!I17),0)*GRAPH!I9+IFERROR(INDEX($X$8:$X$47,$A15-GRAPH!I18),0)*GRAPH!I10+IFERROR(INDEX($Y$8:$Y$47,$A15-GRAPH!I19),0)*GRAPH!I11+IFERROR(INDEX($Z$8:$Z$47,$A15-GRAPH!I20),0)*GRAPH!I12+SUMPRODUCT(($D$8:$D$14=REGIONS!$B$14)*($F$8:$F$14+$A$8:$A$14=$A15)*$E$8:$E$14)+SUMPRODUCT(($N$8:$N$14=REGIONS!$B$14)*($P$8:$P$14+$A$8:$A$14=$A15)*$O$8:$O$14)</f>
        <v>0.805</v>
      </c>
      <c r="AI15" s="28" t="n">
        <f aca="false">REGIONS!$F$7*(1+ASSUMPTIONS!$B$19*$A15)</f>
        <v>0.8384</v>
      </c>
      <c r="AJ15" s="28" t="n">
        <f aca="false">REGIONS!$F$8*(1+ASSUMPTIONS!$B$19*$A15)</f>
        <v>0.9432</v>
      </c>
      <c r="AK15" s="28" t="n">
        <f aca="false">REGIONS!$F$9*(1+ASSUMPTIONS!$B$19*$A15)</f>
        <v>0.9432</v>
      </c>
      <c r="AL15" s="28" t="n">
        <f aca="false">REGIONS!$F$10*(1+ASSUMPTIONS!$B$19*$A15)</f>
        <v>0.7336</v>
      </c>
      <c r="AM15" s="28" t="n">
        <f aca="false">REGIONS!$F$11*(1+ASSUMPTIONS!$B$19*$A15)</f>
        <v>0.7336</v>
      </c>
      <c r="AN15" s="28" t="n">
        <f aca="false">REGIONS!$F$12*(1+ASSUMPTIONS!$B$19*$A15)</f>
        <v>1.1528</v>
      </c>
      <c r="AO15" s="28" t="n">
        <f aca="false">REGIONS!$F$13*(1+ASSUMPTIONS!$B$19*$A15)</f>
        <v>1.2576</v>
      </c>
      <c r="AP15" s="28" t="n">
        <f aca="false">REGIONS!$F$14*(1+ASSUMPTIONS!$B$19*$A15)</f>
        <v>1.2576</v>
      </c>
      <c r="AQ15" s="11" t="n">
        <f aca="false">SUMPRODUCT(($D$8:$D$47=REGIONS!$B$7)*($A$8:$A$47&lt;=$A15)*$L$8:$L$47)+SUMPRODUCT(($N$8:$N$47=REGIONS!$B$7)*($A$8:$A$47&lt;=$A15)*$V$8:$V$47)</f>
        <v>0</v>
      </c>
      <c r="AR15" s="11" t="n">
        <f aca="false">SUMPRODUCT(($D$8:$D$47=REGIONS!$B$8)*($A$8:$A$47&lt;=$A15)*$L$8:$L$47)+SUMPRODUCT(($N$8:$N$47=REGIONS!$B$8)*($A$8:$A$47&lt;=$A15)*$V$8:$V$47)</f>
        <v>0</v>
      </c>
      <c r="AS15" s="11" t="n">
        <f aca="false">SUMPRODUCT(($D$8:$D$47=REGIONS!$B$9)*($A$8:$A$47&lt;=$A15)*$L$8:$L$47)+SUMPRODUCT(($N$8:$N$47=REGIONS!$B$9)*($A$8:$A$47&lt;=$A15)*$V$8:$V$47)</f>
        <v>0</v>
      </c>
      <c r="AT15" s="11" t="n">
        <f aca="false">SUMPRODUCT(($D$8:$D$47=REGIONS!$B$10)*($A$8:$A$47&lt;=$A15)*$L$8:$L$47)+SUMPRODUCT(($N$8:$N$47=REGIONS!$B$10)*($A$8:$A$47&lt;=$A15)*$V$8:$V$47)</f>
        <v>0</v>
      </c>
      <c r="AU15" s="11" t="n">
        <f aca="false">SUMPRODUCT(($D$8:$D$47=REGIONS!$B$11)*($A$8:$A$47&lt;=$A15)*$L$8:$L$47)+SUMPRODUCT(($N$8:$N$47=REGIONS!$B$11)*($A$8:$A$47&lt;=$A15)*$V$8:$V$47)</f>
        <v>0</v>
      </c>
      <c r="AV15" s="11" t="n">
        <f aca="false">SUMPRODUCT(($D$8:$D$47=REGIONS!$B$12)*($A$8:$A$47&lt;=$A15)*$L$8:$L$47)+SUMPRODUCT(($N$8:$N$47=REGIONS!$B$12)*($A$8:$A$47&lt;=$A15)*$V$8:$V$47)</f>
        <v>0</v>
      </c>
      <c r="AW15" s="11" t="n">
        <f aca="false">SUMPRODUCT(($D$8:$D$47=REGIONS!$B$13)*($A$8:$A$47&lt;=$A15)*$L$8:$L$47)+SUMPRODUCT(($N$8:$N$47=REGIONS!$B$13)*($A$8:$A$47&lt;=$A15)*$V$8:$V$47)</f>
        <v>0</v>
      </c>
      <c r="AX15" s="11" t="n">
        <f aca="false">SUMPRODUCT(($D$8:$D$47=REGIONS!$B$14)*($A$8:$A$47&lt;=$A15)*$L$8:$L$47)+SUMPRODUCT(($N$8:$N$47=REGIONS!$B$14)*($A$8:$A$47&lt;=$A15)*$V$8:$V$47)</f>
        <v>0</v>
      </c>
      <c r="AY15" s="12" t="n">
        <f aca="false">MAX(0,MIN(135,100-(MAX(0,-$AA15)*REGIONS!$E$7*ASSUMPTIONS!$B$7+MAX(0,$AA15-ASSUMPTIONS!$B$9)*REGIONS!$E$7*ASSUMPTIONS!$B$8)*(1-$AQ15/100)))</f>
        <v>97.543</v>
      </c>
      <c r="AZ15" s="12" t="n">
        <f aca="false">MAX(0,MIN(135,100-(MAX(0,-$AB15)*REGIONS!$E$8*ASSUMPTIONS!$B$7+MAX(0,$AB15-ASSUMPTIONS!$B$9)*REGIONS!$E$8*ASSUMPTIONS!$B$8)*(1-$AR15/100)))</f>
        <v>95.15516</v>
      </c>
      <c r="BA15" s="12" t="n">
        <f aca="false">MAX(0,MIN(135,100-(MAX(0,-$AC15)*REGIONS!$E$9*ASSUMPTIONS!$B$7+MAX(0,$AC15-ASSUMPTIONS!$B$9)*REGIONS!$E$9*ASSUMPTIONS!$B$8)*(1-$AS15/100)))</f>
        <v>100</v>
      </c>
      <c r="BB15" s="12" t="n">
        <f aca="false">MAX(0,MIN(135,100-(MAX(0,-$AD15)*REGIONS!$E$10*ASSUMPTIONS!$B$7+MAX(0,$AD15-ASSUMPTIONS!$B$9)*REGIONS!$E$10*ASSUMPTIONS!$B$8)*(1-$AT15/100)))</f>
        <v>100</v>
      </c>
      <c r="BC15" s="12" t="n">
        <f aca="false">MAX(0,MIN(135,100-(MAX(0,-$AE15)*REGIONS!$E$11*ASSUMPTIONS!$B$7+MAX(0,$AE15-ASSUMPTIONS!$B$9)*REGIONS!$E$11*ASSUMPTIONS!$B$8)*(1-$AU15/100)))</f>
        <v>94.60384</v>
      </c>
      <c r="BD15" s="12" t="n">
        <f aca="false">MAX(0,MIN(135,100-(MAX(0,-$AF15)*REGIONS!$E$12*ASSUMPTIONS!$B$7+MAX(0,$AF15-ASSUMPTIONS!$B$9)*REGIONS!$E$12*ASSUMPTIONS!$B$8)*(1-$AV15/100)))</f>
        <v>95.58468</v>
      </c>
      <c r="BE15" s="12" t="n">
        <f aca="false">MAX(0,MIN(135,100-(MAX(0,-$AG15)*REGIONS!$E$13*ASSUMPTIONS!$B$7+MAX(0,$AG15-ASSUMPTIONS!$B$9)*REGIONS!$E$13*ASSUMPTIONS!$B$8)*(1-$AW15/100)))</f>
        <v>100</v>
      </c>
      <c r="BF15" s="12" t="n">
        <f aca="false">MAX(0,MIN(135,100-(MAX(0,-$AH15)*REGIONS!$E$14*ASSUMPTIONS!$B$7+MAX(0,$AH15-ASSUMPTIONS!$B$9)*REGIONS!$E$14*ASSUMPTIONS!$B$8)*(1-$AX15/100)))</f>
        <v>100</v>
      </c>
      <c r="BG15" s="12" t="n">
        <f aca="false">$AY15*REGIONS!$D$7/100+$AZ15*REGIONS!$D$8/100+$BA15*REGIONS!$D$9/100+$BB15*REGIONS!$D$10/100+$BC15*REGIONS!$D$11/100+$BD15*REGIONS!$D$12/100+$BE15*REGIONS!$D$13/100+$BF15*REGIONS!$D$14/100</f>
        <v>97.776814</v>
      </c>
      <c r="BH15" s="12" t="n">
        <f aca="false">100*(100/MAX(1,$BG15))^ASSUMPTIONS!$B$10</f>
        <v>104.129890698978</v>
      </c>
      <c r="BI15" s="12" t="n">
        <f aca="false">$AY15*$BH15/100*ASSUMPTIONS!$B$11</f>
        <v>86.3357063918288</v>
      </c>
      <c r="BJ15" s="28" t="n">
        <f aca="false">MAX(0,ABS($AA15)-$AI15*ASSUMPTIONS!$B$24)*REGIONS!$D$7/100+MAX(0,ABS($AB15)-$AJ15*ASSUMPTIONS!$B$24)*REGIONS!$D$8/100+MAX(0,ABS($AC15)-$AK15*ASSUMPTIONS!$B$24)*REGIONS!$D$9/100+MAX(0,ABS($AD15)-$AL15*ASSUMPTIONS!$B$24)*REGIONS!$D$10/100+MAX(0,ABS($AE15)-$AM15*ASSUMPTIONS!$B$24)*REGIONS!$D$11/100+MAX(0,ABS($AF15)-$AN15*ASSUMPTIONS!$B$24)*REGIONS!$D$12/100+MAX(0,ABS($AG15)-$AO15*ASSUMPTIONS!$B$24)*REGIONS!$D$13/100+MAX(0,ABS($AH15)-$AP15*ASSUMPTIONS!$B$24)*REGIONS!$D$14/100</f>
        <v>0</v>
      </c>
      <c r="BK15" s="12" t="n">
        <f aca="false">MIN(ASSUMPTIONS!$B$14,ASSUMPTIONS!$B$12+$BJ15*ASSUMPTIONS!$B$13)</f>
        <v>28</v>
      </c>
      <c r="BL15" s="11" t="n">
        <f aca="false">$H15+$R15</f>
        <v>0</v>
      </c>
      <c r="BM15" s="11" t="n">
        <f aca="false">PLAY!$H15</f>
        <v>0</v>
      </c>
      <c r="BN15" s="12" t="n">
        <f aca="false">$BI15*ASSUMPTIONS!$B$15+$BK15*ASSUMPTIONS!$B$16</f>
        <v>35.5602847670195</v>
      </c>
      <c r="BO15" s="12" t="n">
        <f aca="false">$BO14+$BN15-$BL15-$BM15-ASSUMPTIONS!$B$23</f>
        <v>132.125306184981</v>
      </c>
      <c r="BP15" s="12" t="n">
        <f aca="false">(SUMPRODUCT(($F$8:$F$14+$A$8:$A$14=$A15)*($C$8:$C$14&lt;&gt;"NONE")*$G$8:$G$14)+SUMPRODUCT(($P$8:$P$14+$A$8:$A$14=$A15)*($M$8:$M$14&lt;&gt;"NONE")*$Q$8:$Q$14))*(1+ASSUMPTIONS!$B$22*(MAX(0,ABS($AA15)/$AI15-1)+MAX(0,ABS($AB15)/$AJ15-1)+MAX(0,ABS($AC15)/$AK15-1)+MAX(0,ABS($AD15)/$AL15-1)+MAX(0,ABS($AE15)/$AM15-1)+MAX(0,ABS($AF15)/$AN15-1)+MAX(0,ABS($AG15)/$AO15-1)+MAX(0,ABS($AH15)/$AP15-1))/8)</f>
        <v>0</v>
      </c>
      <c r="BQ15" s="12" t="n">
        <f aca="false">MAX(0,$BQ14*(1-ASSUMPTIONS!$B$18)+$BP15-$BM15*ASSUMPTIONS!$B$17)</f>
        <v>1.65320700653429</v>
      </c>
    </row>
    <row r="16" customFormat="false" ht="15" hidden="false" customHeight="false" outlineLevel="0" collapsed="false">
      <c r="A16" s="13" t="n">
        <v>9</v>
      </c>
      <c r="B16" s="11" t="n">
        <f aca="false">CLIMATE!B16</f>
        <v>1948</v>
      </c>
      <c r="C16" s="13" t="str">
        <f aca="false">IFERROR(INDEX(CAPABILITIES!$B$7:$B$15,MATCH(PLAY!$D16,CAPABILITIES!$A$7:$A$15,0)),"NONE")</f>
        <v>NONE</v>
      </c>
      <c r="D16" s="13" t="n">
        <f aca="false">IFERROR(IF(INDEX(CAPABILITIES!$B$7:$B$15,MATCH(PLAY!$D16,CAPABILITIES!$A$7:$A$15,0))="DRIVER",INDEX(CAPABILITIES!$C$7:$C$15,MATCH(PLAY!$D16,CAPABILITIES!$A$7:$A$15,0)),PLAY!$E16),"")</f>
        <v>0</v>
      </c>
      <c r="E16" s="13" t="n">
        <f aca="false">IFERROR(INDEX(CAPABILITIES!$D$7:$D$15,MATCH(PLAY!$D16,CAPABILITIES!$A$7:$A$15,0))*IF(INDEX(CAPABILITIES!$K$7:$K$15,MATCH(PLAY!$D16,CAPABILITIES!$A$7:$A$15,0))="Y",IF(IFERROR(INDEX($AA15:$AH15,MATCH(PLAY!$E16,REGIONS!$B$7:$B$14,0)),0)&lt;ASSUMPTIONS!$B$20,1,ASSUMPTIONS!$B$21),1),0)</f>
        <v>0</v>
      </c>
      <c r="F16" s="13" t="n">
        <f aca="false">IFERROR(INDEX(CAPABILITIES!$E$7:$E$15,MATCH(PLAY!$D16,CAPABILITIES!$A$7:$A$15,0)),0)</f>
        <v>0</v>
      </c>
      <c r="G16" s="13" t="n">
        <f aca="false">IFERROR(INDEX(CAPABILITIES!$F$7:$F$15,MATCH(PLAY!$D16,CAPABILITIES!$A$7:$A$15,0)),0)</f>
        <v>0</v>
      </c>
      <c r="H16" s="13" t="n">
        <f aca="false">IFERROR(INDEX(CAPABILITIES!$G$7:$G$15,MATCH(PLAY!$D16,CAPABILITIES!$A$7:$A$15,0)),0)</f>
        <v>0</v>
      </c>
      <c r="I16" s="13" t="n">
        <f aca="false">IFERROR(INDEX(CAPABILITIES!$H$7:$H$15,MATCH(PLAY!$D16,CAPABILITIES!$A$7:$A$15,0)),"")</f>
        <v>0</v>
      </c>
      <c r="J16" s="13" t="n">
        <f aca="false">IFERROR(INDEX(CAPABILITIES!$D$7:$D$15,MATCH(PLAY!$D16,CAPABILITIES!$A$7:$A$15,0))*INDEX(CAPABILITIES!$I$7:$I$15,MATCH(PLAY!$D16,CAPABILITIES!$A$7:$A$15,0)),0)</f>
        <v>0</v>
      </c>
      <c r="K16" s="13" t="n">
        <f aca="false">IFERROR(INDEX(CAPABILITIES!$E$7:$E$15,MATCH(PLAY!$D16,CAPABILITIES!$A$7:$A$15,0))+INDEX(CAPABILITIES!$J$7:$J$15,MATCH(PLAY!$D16,CAPABILITIES!$A$7:$A$15,0)),0)</f>
        <v>0</v>
      </c>
      <c r="L16" s="13" t="n">
        <f aca="false">IFERROR(INDEX(CAPABILITIES!$L$7:$L$15,MATCH(PLAY!$D16,CAPABILITIES!$A$7:$A$15,0)),0)</f>
        <v>0</v>
      </c>
      <c r="M16" s="13" t="str">
        <f aca="false">IFERROR(INDEX(CAPABILITIES!$B$7:$B$15,MATCH(PLAY!$F16,CAPABILITIES!$A$7:$A$15,0)),"NONE")</f>
        <v>NONE</v>
      </c>
      <c r="N16" s="13" t="n">
        <f aca="false">IFERROR(IF(INDEX(CAPABILITIES!$B$7:$B$15,MATCH(PLAY!$F16,CAPABILITIES!$A$7:$A$15,0))="DRIVER",INDEX(CAPABILITIES!$C$7:$C$15,MATCH(PLAY!$F16,CAPABILITIES!$A$7:$A$15,0)),PLAY!$G16),"")</f>
        <v>0</v>
      </c>
      <c r="O16" s="13" t="n">
        <f aca="false">IFERROR(INDEX(CAPABILITIES!$D$7:$D$15,MATCH(PLAY!$F16,CAPABILITIES!$A$7:$A$15,0))*IF(INDEX(CAPABILITIES!$K$7:$K$15,MATCH(PLAY!$F16,CAPABILITIES!$A$7:$A$15,0))="Y",IF(IFERROR(INDEX($AA15:$AH15,MATCH(PLAY!$G16,REGIONS!$B$7:$B$14,0)),0)&lt;ASSUMPTIONS!$B$20,1,ASSUMPTIONS!$B$21),1),0)</f>
        <v>0</v>
      </c>
      <c r="P16" s="13" t="n">
        <f aca="false">IFERROR(INDEX(CAPABILITIES!$E$7:$E$15,MATCH(PLAY!$F16,CAPABILITIES!$A$7:$A$15,0)),0)</f>
        <v>0</v>
      </c>
      <c r="Q16" s="13" t="n">
        <f aca="false">IFERROR(INDEX(CAPABILITIES!$F$7:$F$15,MATCH(PLAY!$F16,CAPABILITIES!$A$7:$A$15,0)),0)</f>
        <v>0</v>
      </c>
      <c r="R16" s="13" t="n">
        <f aca="false">IFERROR(INDEX(CAPABILITIES!$G$7:$G$15,MATCH(PLAY!$F16,CAPABILITIES!$A$7:$A$15,0)),0)</f>
        <v>0</v>
      </c>
      <c r="S16" s="13" t="n">
        <f aca="false">IFERROR(INDEX(CAPABILITIES!$H$7:$H$15,MATCH(PLAY!$F16,CAPABILITIES!$A$7:$A$15,0)),"")</f>
        <v>0</v>
      </c>
      <c r="T16" s="13" t="n">
        <f aca="false">IFERROR(INDEX(CAPABILITIES!$D$7:$D$15,MATCH(PLAY!$F16,CAPABILITIES!$A$7:$A$15,0))*INDEX(CAPABILITIES!$I$7:$I$15,MATCH(PLAY!$F16,CAPABILITIES!$A$7:$A$15,0)),0)</f>
        <v>0</v>
      </c>
      <c r="U16" s="13" t="n">
        <f aca="false">IFERROR(INDEX(CAPABILITIES!$E$7:$E$15,MATCH(PLAY!$F16,CAPABILITIES!$A$7:$A$15,0))+INDEX(CAPABILITIES!$J$7:$J$15,MATCH(PLAY!$F16,CAPABILITIES!$A$7:$A$15,0)),0)</f>
        <v>0</v>
      </c>
      <c r="V16" s="13" t="n">
        <f aca="false">IFERROR(INDEX(CAPABILITIES!$L$7:$L$15,MATCH(PLAY!$F16,CAPABILITIES!$A$7:$A$15,0)),0)</f>
        <v>0</v>
      </c>
      <c r="W16" s="28" t="n">
        <f aca="false">CLIMATE!D16+SUMPRODUCT(($D$8:$D$15="ENSO")*($F$8:$F$15+$A$8:$A$15=$A16)*$E$8:$E$15)+SUMPRODUCT(($I$8:$I$15="ENSO")*($K$8:$K$15+$A$8:$A$15=$A16)*$J$8:$J$15)+SUMPRODUCT(($N$8:$N$15="ENSO")*($P$8:$P$15+$A$8:$A$15=$A16)*$O$8:$O$15)+SUMPRODUCT(($S$8:$S$15="ENSO")*($U$8:$U$15+$A$8:$A$15=$A16)*$T$8:$T$15)</f>
        <v>-1.58</v>
      </c>
      <c r="X16" s="28" t="n">
        <f aca="false">CLIMATE!E16+SUMPRODUCT(($D$8:$D$15="IOD")*($F$8:$F$15+$A$8:$A$15=$A16)*$E$8:$E$15)+SUMPRODUCT(($I$8:$I$15="IOD")*($K$8:$K$15+$A$8:$A$15=$A16)*$J$8:$J$15)+SUMPRODUCT(($N$8:$N$15="IOD")*($P$8:$P$15+$A$8:$A$15=$A16)*$O$8:$O$15)+SUMPRODUCT(($S$8:$S$15="IOD")*($U$8:$U$15+$A$8:$A$15=$A16)*$T$8:$T$15)</f>
        <v>0.727</v>
      </c>
      <c r="Y16" s="28" t="n">
        <f aca="false">CLIMATE!F16+SUMPRODUCT(($D$8:$D$15="NATL")*($F$8:$F$15+$A$8:$A$15=$A16)*$E$8:$E$15)+SUMPRODUCT(($I$8:$I$15="NATL")*($K$8:$K$15+$A$8:$A$15=$A16)*$J$8:$J$15)+SUMPRODUCT(($N$8:$N$15="NATL")*($P$8:$P$15+$A$8:$A$15=$A16)*$O$8:$O$15)+SUMPRODUCT(($S$8:$S$15="NATL")*($U$8:$U$15+$A$8:$A$15=$A16)*$T$8:$T$15)</f>
        <v>0.214</v>
      </c>
      <c r="Z16" s="28" t="n">
        <f aca="false">CLIMATE!G16+SUMPRODUCT(($D$8:$D$15="GLOBAL")*($F$8:$F$15+$A$8:$A$15=$A16)*$E$8:$E$15)+SUMPRODUCT(($I$8:$I$15="GLOBAL")*($K$8:$K$15+$A$8:$A$15=$A16)*$J$8:$J$15)+SUMPRODUCT(($N$8:$N$15="GLOBAL")*($P$8:$P$15+$A$8:$A$15=$A16)*$O$8:$O$15)+SUMPRODUCT(($S$8:$S$15="GLOBAL")*($U$8:$U$15+$A$8:$A$15=$A16)*$T$8:$T$15)</f>
        <v>0</v>
      </c>
      <c r="AA16" s="28" t="n">
        <f aca="false">CLIMATE!H16+IFERROR(INDEX($W$8:$W$47,$A16-GRAPH!B17),0)*GRAPH!B9+IFERROR(INDEX($X$8:$X$47,$A16-GRAPH!B18),0)*GRAPH!B10+IFERROR(INDEX($Y$8:$Y$47,$A16-GRAPH!B19),0)*GRAPH!B11+IFERROR(INDEX($Z$8:$Z$47,$A16-GRAPH!B20),0)*GRAPH!B12+SUMPRODUCT(($D$8:$D$15=REGIONS!$B$7)*($F$8:$F$15+$A$8:$A$15=$A16)*$E$8:$E$15)+SUMPRODUCT(($N$8:$N$15=REGIONS!$B$7)*($P$8:$P$15+$A$8:$A$15=$A16)*$O$8:$O$15)</f>
        <v>0.3041</v>
      </c>
      <c r="AB16" s="28" t="n">
        <f aca="false">CLIMATE!I16+IFERROR(INDEX($W$8:$W$47,$A16-GRAPH!C17),0)*GRAPH!C9+IFERROR(INDEX($X$8:$X$47,$A16-GRAPH!C18),0)*GRAPH!C10+IFERROR(INDEX($Y$8:$Y$47,$A16-GRAPH!C19),0)*GRAPH!C11+IFERROR(INDEX($Z$8:$Z$47,$A16-GRAPH!C20),0)*GRAPH!C12+SUMPRODUCT(($D$8:$D$15=REGIONS!$B$8)*($F$8:$F$15+$A$8:$A$15=$A16)*$E$8:$E$15)+SUMPRODUCT(($N$8:$N$15=REGIONS!$B$8)*($P$8:$P$15+$A$8:$A$15=$A16)*$O$8:$O$15)</f>
        <v>-0.2561</v>
      </c>
      <c r="AC16" s="28" t="n">
        <f aca="false">CLIMATE!J16+IFERROR(INDEX($W$8:$W$47,$A16-GRAPH!D17),0)*GRAPH!D9+IFERROR(INDEX($X$8:$X$47,$A16-GRAPH!D18),0)*GRAPH!D10+IFERROR(INDEX($Y$8:$Y$47,$A16-GRAPH!D19),0)*GRAPH!D11+IFERROR(INDEX($Z$8:$Z$47,$A16-GRAPH!D20),0)*GRAPH!D12+SUMPRODUCT(($D$8:$D$15=REGIONS!$B$9)*($F$8:$F$15+$A$8:$A$15=$A16)*$E$8:$E$15)+SUMPRODUCT(($N$8:$N$15=REGIONS!$B$9)*($P$8:$P$15+$A$8:$A$15=$A16)*$O$8:$O$15)</f>
        <v>0.026</v>
      </c>
      <c r="AD16" s="28" t="n">
        <f aca="false">CLIMATE!K16+IFERROR(INDEX($W$8:$W$47,$A16-GRAPH!E17),0)*GRAPH!E9+IFERROR(INDEX($X$8:$X$47,$A16-GRAPH!E18),0)*GRAPH!E10+IFERROR(INDEX($Y$8:$Y$47,$A16-GRAPH!E19),0)*GRAPH!E11+IFERROR(INDEX($Z$8:$Z$47,$A16-GRAPH!E20),0)*GRAPH!E12+SUMPRODUCT(($D$8:$D$15=REGIONS!$B$10)*($F$8:$F$15+$A$8:$A$15=$A16)*$E$8:$E$15)+SUMPRODUCT(($N$8:$N$15=REGIONS!$B$10)*($P$8:$P$15+$A$8:$A$15=$A16)*$O$8:$O$15)</f>
        <v>0.6634</v>
      </c>
      <c r="AE16" s="28" t="n">
        <f aca="false">CLIMATE!L16+IFERROR(INDEX($W$8:$W$47,$A16-GRAPH!F17),0)*GRAPH!F9+IFERROR(INDEX($X$8:$X$47,$A16-GRAPH!F18),0)*GRAPH!F10+IFERROR(INDEX($Y$8:$Y$47,$A16-GRAPH!F19),0)*GRAPH!F11+IFERROR(INDEX($Z$8:$Z$47,$A16-GRAPH!F20),0)*GRAPH!F12+SUMPRODUCT(($D$8:$D$15=REGIONS!$B$11)*($F$8:$F$15+$A$8:$A$15=$A16)*$E$8:$E$15)+SUMPRODUCT(($N$8:$N$15=REGIONS!$B$11)*($P$8:$P$15+$A$8:$A$15=$A16)*$O$8:$O$15)</f>
        <v>0.6224</v>
      </c>
      <c r="AF16" s="28" t="n">
        <f aca="false">CLIMATE!M16+IFERROR(INDEX($W$8:$W$47,$A16-GRAPH!G17),0)*GRAPH!G9+IFERROR(INDEX($X$8:$X$47,$A16-GRAPH!G18),0)*GRAPH!G10+IFERROR(INDEX($Y$8:$Y$47,$A16-GRAPH!G19),0)*GRAPH!G11+IFERROR(INDEX($Z$8:$Z$47,$A16-GRAPH!G20),0)*GRAPH!G12+SUMPRODUCT(($D$8:$D$15=REGIONS!$B$12)*($F$8:$F$15+$A$8:$A$15=$A16)*$E$8:$E$15)+SUMPRODUCT(($N$8:$N$15=REGIONS!$B$12)*($P$8:$P$15+$A$8:$A$15=$A16)*$O$8:$O$15)</f>
        <v>0.6972</v>
      </c>
      <c r="AG16" s="28" t="n">
        <f aca="false">CLIMATE!N16+IFERROR(INDEX($W$8:$W$47,$A16-GRAPH!H17),0)*GRAPH!H9+IFERROR(INDEX($X$8:$X$47,$A16-GRAPH!H18),0)*GRAPH!H10+IFERROR(INDEX($Y$8:$Y$47,$A16-GRAPH!H19),0)*GRAPH!H11+IFERROR(INDEX($Z$8:$Z$47,$A16-GRAPH!H20),0)*GRAPH!H12+SUMPRODUCT(($D$8:$D$15=REGIONS!$B$13)*($F$8:$F$15+$A$8:$A$15=$A16)*$E$8:$E$15)+SUMPRODUCT(($N$8:$N$15=REGIONS!$B$13)*($P$8:$P$15+$A$8:$A$15=$A16)*$O$8:$O$15)</f>
        <v>0.5075</v>
      </c>
      <c r="AH16" s="28" t="n">
        <f aca="false">CLIMATE!O16+IFERROR(INDEX($W$8:$W$47,$A16-GRAPH!I17),0)*GRAPH!I9+IFERROR(INDEX($X$8:$X$47,$A16-GRAPH!I18),0)*GRAPH!I10+IFERROR(INDEX($Y$8:$Y$47,$A16-GRAPH!I19),0)*GRAPH!I11+IFERROR(INDEX($Z$8:$Z$47,$A16-GRAPH!I20),0)*GRAPH!I12+SUMPRODUCT(($D$8:$D$15=REGIONS!$B$14)*($F$8:$F$15+$A$8:$A$15=$A16)*$E$8:$E$15)+SUMPRODUCT(($N$8:$N$15=REGIONS!$B$14)*($P$8:$P$15+$A$8:$A$15=$A16)*$O$8:$O$15)</f>
        <v>0.7714</v>
      </c>
      <c r="AI16" s="28" t="n">
        <f aca="false">REGIONS!$F$7*(1+ASSUMPTIONS!$B$19*$A16)</f>
        <v>0.8432</v>
      </c>
      <c r="AJ16" s="28" t="n">
        <f aca="false">REGIONS!$F$8*(1+ASSUMPTIONS!$B$19*$A16)</f>
        <v>0.9486</v>
      </c>
      <c r="AK16" s="28" t="n">
        <f aca="false">REGIONS!$F$9*(1+ASSUMPTIONS!$B$19*$A16)</f>
        <v>0.9486</v>
      </c>
      <c r="AL16" s="28" t="n">
        <f aca="false">REGIONS!$F$10*(1+ASSUMPTIONS!$B$19*$A16)</f>
        <v>0.7378</v>
      </c>
      <c r="AM16" s="28" t="n">
        <f aca="false">REGIONS!$F$11*(1+ASSUMPTIONS!$B$19*$A16)</f>
        <v>0.7378</v>
      </c>
      <c r="AN16" s="28" t="n">
        <f aca="false">REGIONS!$F$12*(1+ASSUMPTIONS!$B$19*$A16)</f>
        <v>1.1594</v>
      </c>
      <c r="AO16" s="28" t="n">
        <f aca="false">REGIONS!$F$13*(1+ASSUMPTIONS!$B$19*$A16)</f>
        <v>1.2648</v>
      </c>
      <c r="AP16" s="28" t="n">
        <f aca="false">REGIONS!$F$14*(1+ASSUMPTIONS!$B$19*$A16)</f>
        <v>1.2648</v>
      </c>
      <c r="AQ16" s="11" t="n">
        <f aca="false">SUMPRODUCT(($D$8:$D$47=REGIONS!$B$7)*($A$8:$A$47&lt;=$A16)*$L$8:$L$47)+SUMPRODUCT(($N$8:$N$47=REGIONS!$B$7)*($A$8:$A$47&lt;=$A16)*$V$8:$V$47)</f>
        <v>0</v>
      </c>
      <c r="AR16" s="11" t="n">
        <f aca="false">SUMPRODUCT(($D$8:$D$47=REGIONS!$B$8)*($A$8:$A$47&lt;=$A16)*$L$8:$L$47)+SUMPRODUCT(($N$8:$N$47=REGIONS!$B$8)*($A$8:$A$47&lt;=$A16)*$V$8:$V$47)</f>
        <v>0</v>
      </c>
      <c r="AS16" s="11" t="n">
        <f aca="false">SUMPRODUCT(($D$8:$D$47=REGIONS!$B$9)*($A$8:$A$47&lt;=$A16)*$L$8:$L$47)+SUMPRODUCT(($N$8:$N$47=REGIONS!$B$9)*($A$8:$A$47&lt;=$A16)*$V$8:$V$47)</f>
        <v>0</v>
      </c>
      <c r="AT16" s="11" t="n">
        <f aca="false">SUMPRODUCT(($D$8:$D$47=REGIONS!$B$10)*($A$8:$A$47&lt;=$A16)*$L$8:$L$47)+SUMPRODUCT(($N$8:$N$47=REGIONS!$B$10)*($A$8:$A$47&lt;=$A16)*$V$8:$V$47)</f>
        <v>0</v>
      </c>
      <c r="AU16" s="11" t="n">
        <f aca="false">SUMPRODUCT(($D$8:$D$47=REGIONS!$B$11)*($A$8:$A$47&lt;=$A16)*$L$8:$L$47)+SUMPRODUCT(($N$8:$N$47=REGIONS!$B$11)*($A$8:$A$47&lt;=$A16)*$V$8:$V$47)</f>
        <v>0</v>
      </c>
      <c r="AV16" s="11" t="n">
        <f aca="false">SUMPRODUCT(($D$8:$D$47=REGIONS!$B$12)*($A$8:$A$47&lt;=$A16)*$L$8:$L$47)+SUMPRODUCT(($N$8:$N$47=REGIONS!$B$12)*($A$8:$A$47&lt;=$A16)*$V$8:$V$47)</f>
        <v>0</v>
      </c>
      <c r="AW16" s="11" t="n">
        <f aca="false">SUMPRODUCT(($D$8:$D$47=REGIONS!$B$13)*($A$8:$A$47&lt;=$A16)*$L$8:$L$47)+SUMPRODUCT(($N$8:$N$47=REGIONS!$B$13)*($A$8:$A$47&lt;=$A16)*$V$8:$V$47)</f>
        <v>0</v>
      </c>
      <c r="AX16" s="11" t="n">
        <f aca="false">SUMPRODUCT(($D$8:$D$47=REGIONS!$B$14)*($A$8:$A$47&lt;=$A16)*$L$8:$L$47)+SUMPRODUCT(($N$8:$N$47=REGIONS!$B$14)*($A$8:$A$47&lt;=$A16)*$V$8:$V$47)</f>
        <v>0</v>
      </c>
      <c r="AY16" s="12" t="n">
        <f aca="false">MAX(0,MIN(135,100-(MAX(0,-$AA16)*REGIONS!$E$7*ASSUMPTIONS!$B$7+MAX(0,$AA16-ASSUMPTIONS!$B$9)*REGIONS!$E$7*ASSUMPTIONS!$B$8)*(1-$AQ16/100)))</f>
        <v>100</v>
      </c>
      <c r="AZ16" s="12" t="n">
        <f aca="false">MAX(0,MIN(135,100-(MAX(0,-$AB16)*REGIONS!$E$8*ASSUMPTIONS!$B$7+MAX(0,$AB16-ASSUMPTIONS!$B$9)*REGIONS!$E$8*ASSUMPTIONS!$B$8)*(1-$AR16/100)))</f>
        <v>96.05606</v>
      </c>
      <c r="BA16" s="12" t="n">
        <f aca="false">MAX(0,MIN(135,100-(MAX(0,-$AC16)*REGIONS!$E$9*ASSUMPTIONS!$B$7+MAX(0,$AC16-ASSUMPTIONS!$B$9)*REGIONS!$E$9*ASSUMPTIONS!$B$8)*(1-$AS16/100)))</f>
        <v>100</v>
      </c>
      <c r="BB16" s="12" t="n">
        <f aca="false">MAX(0,MIN(135,100-(MAX(0,-$AD16)*REGIONS!$E$10*ASSUMPTIONS!$B$7+MAX(0,$AD16-ASSUMPTIONS!$B$9)*REGIONS!$E$10*ASSUMPTIONS!$B$8)*(1-$AT16/100)))</f>
        <v>100</v>
      </c>
      <c r="BC16" s="12" t="n">
        <f aca="false">MAX(0,MIN(135,100-(MAX(0,-$AE16)*REGIONS!$E$11*ASSUMPTIONS!$B$7+MAX(0,$AE16-ASSUMPTIONS!$B$9)*REGIONS!$E$11*ASSUMPTIONS!$B$8)*(1-$AU16/100)))</f>
        <v>100</v>
      </c>
      <c r="BD16" s="12" t="n">
        <f aca="false">MAX(0,MIN(135,100-(MAX(0,-$AF16)*REGIONS!$E$12*ASSUMPTIONS!$B$7+MAX(0,$AF16-ASSUMPTIONS!$B$9)*REGIONS!$E$12*ASSUMPTIONS!$B$8)*(1-$AV16/100)))</f>
        <v>100</v>
      </c>
      <c r="BE16" s="12" t="n">
        <f aca="false">MAX(0,MIN(135,100-(MAX(0,-$AG16)*REGIONS!$E$13*ASSUMPTIONS!$B$7+MAX(0,$AG16-ASSUMPTIONS!$B$9)*REGIONS!$E$13*ASSUMPTIONS!$B$8)*(1-$AW16/100)))</f>
        <v>100</v>
      </c>
      <c r="BF16" s="12" t="n">
        <f aca="false">MAX(0,MIN(135,100-(MAX(0,-$AH16)*REGIONS!$E$14*ASSUMPTIONS!$B$7+MAX(0,$AH16-ASSUMPTIONS!$B$9)*REGIONS!$E$14*ASSUMPTIONS!$B$8)*(1-$AX16/100)))</f>
        <v>100</v>
      </c>
      <c r="BG16" s="12" t="n">
        <f aca="false">$AY16*REGIONS!$D$7/100+$AZ16*REGIONS!$D$8/100+$BA16*REGIONS!$D$9/100+$BB16*REGIONS!$D$10/100+$BC16*REGIONS!$D$11/100+$BD16*REGIONS!$D$12/100+$BE16*REGIONS!$D$13/100+$BF16*REGIONS!$D$14/100</f>
        <v>99.3689696</v>
      </c>
      <c r="BH16" s="12" t="n">
        <f aca="false">100*(100/MAX(1,$BG16))^ASSUMPTIONS!$B$10</f>
        <v>101.145970163122</v>
      </c>
      <c r="BI16" s="12" t="n">
        <f aca="false">$AY16*$BH16/100*ASSUMPTIONS!$B$11</f>
        <v>85.9740746386534</v>
      </c>
      <c r="BJ16" s="28" t="n">
        <f aca="false">MAX(0,ABS($AA16)-$AI16*ASSUMPTIONS!$B$24)*REGIONS!$D$7/100+MAX(0,ABS($AB16)-$AJ16*ASSUMPTIONS!$B$24)*REGIONS!$D$8/100+MAX(0,ABS($AC16)-$AK16*ASSUMPTIONS!$B$24)*REGIONS!$D$9/100+MAX(0,ABS($AD16)-$AL16*ASSUMPTIONS!$B$24)*REGIONS!$D$10/100+MAX(0,ABS($AE16)-$AM16*ASSUMPTIONS!$B$24)*REGIONS!$D$11/100+MAX(0,ABS($AF16)-$AN16*ASSUMPTIONS!$B$24)*REGIONS!$D$12/100+MAX(0,ABS($AG16)-$AO16*ASSUMPTIONS!$B$24)*REGIONS!$D$13/100+MAX(0,ABS($AH16)-$AP16*ASSUMPTIONS!$B$24)*REGIONS!$D$14/100</f>
        <v>0.028095</v>
      </c>
      <c r="BK16" s="12" t="n">
        <f aca="false">MIN(ASSUMPTIONS!$B$14,ASSUMPTIONS!$B$12+$BJ16*ASSUMPTIONS!$B$13)</f>
        <v>29.17999</v>
      </c>
      <c r="BL16" s="11" t="n">
        <f aca="false">$H16+$R16</f>
        <v>0</v>
      </c>
      <c r="BM16" s="11" t="n">
        <f aca="false">PLAY!$H16</f>
        <v>0</v>
      </c>
      <c r="BN16" s="12" t="n">
        <f aca="false">$BI16*ASSUMPTIONS!$B$15+$BK16*ASSUMPTIONS!$B$16</f>
        <v>36.5788799566384</v>
      </c>
      <c r="BO16" s="12" t="n">
        <f aca="false">$BO15+$BN16-$BL16-$BM16-ASSUMPTIONS!$B$23</f>
        <v>136.704186141619</v>
      </c>
      <c r="BP16" s="12" t="n">
        <f aca="false">(SUMPRODUCT(($F$8:$F$15+$A$8:$A$15=$A16)*($C$8:$C$15&lt;&gt;"NONE")*$G$8:$G$15)+SUMPRODUCT(($P$8:$P$15+$A$8:$A$15=$A16)*($M$8:$M$15&lt;&gt;"NONE")*$Q$8:$Q$15))*(1+ASSUMPTIONS!$B$22*(MAX(0,ABS($AA16)/$AI16-1)+MAX(0,ABS($AB16)/$AJ16-1)+MAX(0,ABS($AC16)/$AK16-1)+MAX(0,ABS($AD16)/$AL16-1)+MAX(0,ABS($AE16)/$AM16-1)+MAX(0,ABS($AF16)/$AN16-1)+MAX(0,ABS($AG16)/$AO16-1)+MAX(0,ABS($AH16)/$AP16-1))/8)</f>
        <v>0</v>
      </c>
      <c r="BQ16" s="12" t="n">
        <f aca="false">MAX(0,$BQ15*(1-ASSUMPTIONS!$B$18)+$BP16-$BM16*ASSUMPTIONS!$B$17)</f>
        <v>1.58707872627291</v>
      </c>
    </row>
    <row r="17" customFormat="false" ht="15" hidden="false" customHeight="false" outlineLevel="0" collapsed="false">
      <c r="A17" s="13" t="n">
        <v>10</v>
      </c>
      <c r="B17" s="11" t="n">
        <f aca="false">CLIMATE!B17</f>
        <v>1948</v>
      </c>
      <c r="C17" s="13" t="str">
        <f aca="false">IFERROR(INDEX(CAPABILITIES!$B$7:$B$15,MATCH(PLAY!$D17,CAPABILITIES!$A$7:$A$15,0)),"NONE")</f>
        <v>NONE</v>
      </c>
      <c r="D17" s="13" t="n">
        <f aca="false">IFERROR(IF(INDEX(CAPABILITIES!$B$7:$B$15,MATCH(PLAY!$D17,CAPABILITIES!$A$7:$A$15,0))="DRIVER",INDEX(CAPABILITIES!$C$7:$C$15,MATCH(PLAY!$D17,CAPABILITIES!$A$7:$A$15,0)),PLAY!$E17),"")</f>
        <v>0</v>
      </c>
      <c r="E17" s="13" t="n">
        <f aca="false">IFERROR(INDEX(CAPABILITIES!$D$7:$D$15,MATCH(PLAY!$D17,CAPABILITIES!$A$7:$A$15,0))*IF(INDEX(CAPABILITIES!$K$7:$K$15,MATCH(PLAY!$D17,CAPABILITIES!$A$7:$A$15,0))="Y",IF(IFERROR(INDEX($AA16:$AH16,MATCH(PLAY!$E17,REGIONS!$B$7:$B$14,0)),0)&lt;ASSUMPTIONS!$B$20,1,ASSUMPTIONS!$B$21),1),0)</f>
        <v>0</v>
      </c>
      <c r="F17" s="13" t="n">
        <f aca="false">IFERROR(INDEX(CAPABILITIES!$E$7:$E$15,MATCH(PLAY!$D17,CAPABILITIES!$A$7:$A$15,0)),0)</f>
        <v>0</v>
      </c>
      <c r="G17" s="13" t="n">
        <f aca="false">IFERROR(INDEX(CAPABILITIES!$F$7:$F$15,MATCH(PLAY!$D17,CAPABILITIES!$A$7:$A$15,0)),0)</f>
        <v>0</v>
      </c>
      <c r="H17" s="13" t="n">
        <f aca="false">IFERROR(INDEX(CAPABILITIES!$G$7:$G$15,MATCH(PLAY!$D17,CAPABILITIES!$A$7:$A$15,0)),0)</f>
        <v>0</v>
      </c>
      <c r="I17" s="13" t="n">
        <f aca="false">IFERROR(INDEX(CAPABILITIES!$H$7:$H$15,MATCH(PLAY!$D17,CAPABILITIES!$A$7:$A$15,0)),"")</f>
        <v>0</v>
      </c>
      <c r="J17" s="13" t="n">
        <f aca="false">IFERROR(INDEX(CAPABILITIES!$D$7:$D$15,MATCH(PLAY!$D17,CAPABILITIES!$A$7:$A$15,0))*INDEX(CAPABILITIES!$I$7:$I$15,MATCH(PLAY!$D17,CAPABILITIES!$A$7:$A$15,0)),0)</f>
        <v>0</v>
      </c>
      <c r="K17" s="13" t="n">
        <f aca="false">IFERROR(INDEX(CAPABILITIES!$E$7:$E$15,MATCH(PLAY!$D17,CAPABILITIES!$A$7:$A$15,0))+INDEX(CAPABILITIES!$J$7:$J$15,MATCH(PLAY!$D17,CAPABILITIES!$A$7:$A$15,0)),0)</f>
        <v>0</v>
      </c>
      <c r="L17" s="13" t="n">
        <f aca="false">IFERROR(INDEX(CAPABILITIES!$L$7:$L$15,MATCH(PLAY!$D17,CAPABILITIES!$A$7:$A$15,0)),0)</f>
        <v>0</v>
      </c>
      <c r="M17" s="13" t="str">
        <f aca="false">IFERROR(INDEX(CAPABILITIES!$B$7:$B$15,MATCH(PLAY!$F17,CAPABILITIES!$A$7:$A$15,0)),"NONE")</f>
        <v>NONE</v>
      </c>
      <c r="N17" s="13" t="n">
        <f aca="false">IFERROR(IF(INDEX(CAPABILITIES!$B$7:$B$15,MATCH(PLAY!$F17,CAPABILITIES!$A$7:$A$15,0))="DRIVER",INDEX(CAPABILITIES!$C$7:$C$15,MATCH(PLAY!$F17,CAPABILITIES!$A$7:$A$15,0)),PLAY!$G17),"")</f>
        <v>0</v>
      </c>
      <c r="O17" s="13" t="n">
        <f aca="false">IFERROR(INDEX(CAPABILITIES!$D$7:$D$15,MATCH(PLAY!$F17,CAPABILITIES!$A$7:$A$15,0))*IF(INDEX(CAPABILITIES!$K$7:$K$15,MATCH(PLAY!$F17,CAPABILITIES!$A$7:$A$15,0))="Y",IF(IFERROR(INDEX($AA16:$AH16,MATCH(PLAY!$G17,REGIONS!$B$7:$B$14,0)),0)&lt;ASSUMPTIONS!$B$20,1,ASSUMPTIONS!$B$21),1),0)</f>
        <v>0</v>
      </c>
      <c r="P17" s="13" t="n">
        <f aca="false">IFERROR(INDEX(CAPABILITIES!$E$7:$E$15,MATCH(PLAY!$F17,CAPABILITIES!$A$7:$A$15,0)),0)</f>
        <v>0</v>
      </c>
      <c r="Q17" s="13" t="n">
        <f aca="false">IFERROR(INDEX(CAPABILITIES!$F$7:$F$15,MATCH(PLAY!$F17,CAPABILITIES!$A$7:$A$15,0)),0)</f>
        <v>0</v>
      </c>
      <c r="R17" s="13" t="n">
        <f aca="false">IFERROR(INDEX(CAPABILITIES!$G$7:$G$15,MATCH(PLAY!$F17,CAPABILITIES!$A$7:$A$15,0)),0)</f>
        <v>0</v>
      </c>
      <c r="S17" s="13" t="n">
        <f aca="false">IFERROR(INDEX(CAPABILITIES!$H$7:$H$15,MATCH(PLAY!$F17,CAPABILITIES!$A$7:$A$15,0)),"")</f>
        <v>0</v>
      </c>
      <c r="T17" s="13" t="n">
        <f aca="false">IFERROR(INDEX(CAPABILITIES!$D$7:$D$15,MATCH(PLAY!$F17,CAPABILITIES!$A$7:$A$15,0))*INDEX(CAPABILITIES!$I$7:$I$15,MATCH(PLAY!$F17,CAPABILITIES!$A$7:$A$15,0)),0)</f>
        <v>0</v>
      </c>
      <c r="U17" s="13" t="n">
        <f aca="false">IFERROR(INDEX(CAPABILITIES!$E$7:$E$15,MATCH(PLAY!$F17,CAPABILITIES!$A$7:$A$15,0))+INDEX(CAPABILITIES!$J$7:$J$15,MATCH(PLAY!$F17,CAPABILITIES!$A$7:$A$15,0)),0)</f>
        <v>0</v>
      </c>
      <c r="V17" s="13" t="n">
        <f aca="false">IFERROR(INDEX(CAPABILITIES!$L$7:$L$15,MATCH(PLAY!$F17,CAPABILITIES!$A$7:$A$15,0)),0)</f>
        <v>0</v>
      </c>
      <c r="W17" s="28" t="n">
        <f aca="false">CLIMATE!D17+SUMPRODUCT(($D$8:$D$16="ENSO")*($F$8:$F$16+$A$8:$A$16=$A17)*$E$8:$E$16)+SUMPRODUCT(($I$8:$I$16="ENSO")*($K$8:$K$16+$A$8:$A$16=$A17)*$J$8:$J$16)+SUMPRODUCT(($N$8:$N$16="ENSO")*($P$8:$P$16+$A$8:$A$16=$A17)*$O$8:$O$16)+SUMPRODUCT(($S$8:$S$16="ENSO")*($U$8:$U$16+$A$8:$A$16=$A17)*$T$8:$T$16)</f>
        <v>-1.107</v>
      </c>
      <c r="X17" s="28" t="n">
        <f aca="false">CLIMATE!E17+SUMPRODUCT(($D$8:$D$16="IOD")*($F$8:$F$16+$A$8:$A$16=$A17)*$E$8:$E$16)+SUMPRODUCT(($I$8:$I$16="IOD")*($K$8:$K$16+$A$8:$A$16=$A17)*$J$8:$J$16)+SUMPRODUCT(($N$8:$N$16="IOD")*($P$8:$P$16+$A$8:$A$16=$A17)*$O$8:$O$16)+SUMPRODUCT(($S$8:$S$16="IOD")*($U$8:$U$16+$A$8:$A$16=$A17)*$T$8:$T$16)</f>
        <v>0.664</v>
      </c>
      <c r="Y17" s="28" t="n">
        <f aca="false">CLIMATE!F17+SUMPRODUCT(($D$8:$D$16="NATL")*($F$8:$F$16+$A$8:$A$16=$A17)*$E$8:$E$16)+SUMPRODUCT(($I$8:$I$16="NATL")*($K$8:$K$16+$A$8:$A$16=$A17)*$J$8:$J$16)+SUMPRODUCT(($N$8:$N$16="NATL")*($P$8:$P$16+$A$8:$A$16=$A17)*$O$8:$O$16)+SUMPRODUCT(($S$8:$S$16="NATL")*($U$8:$U$16+$A$8:$A$16=$A17)*$T$8:$T$16)</f>
        <v>0.327</v>
      </c>
      <c r="Z17" s="28" t="n">
        <f aca="false">CLIMATE!G17+SUMPRODUCT(($D$8:$D$16="GLOBAL")*($F$8:$F$16+$A$8:$A$16=$A17)*$E$8:$E$16)+SUMPRODUCT(($I$8:$I$16="GLOBAL")*($K$8:$K$16+$A$8:$A$16=$A17)*$J$8:$J$16)+SUMPRODUCT(($N$8:$N$16="GLOBAL")*($P$8:$P$16+$A$8:$A$16=$A17)*$O$8:$O$16)+SUMPRODUCT(($S$8:$S$16="GLOBAL")*($U$8:$U$16+$A$8:$A$16=$A17)*$T$8:$T$16)</f>
        <v>0</v>
      </c>
      <c r="AA17" s="28" t="n">
        <f aca="false">CLIMATE!H17+IFERROR(INDEX($W$8:$W$47,$A17-GRAPH!B17),0)*GRAPH!B9+IFERROR(INDEX($X$8:$X$47,$A17-GRAPH!B18),0)*GRAPH!B10+IFERROR(INDEX($Y$8:$Y$47,$A17-GRAPH!B19),0)*GRAPH!B11+IFERROR(INDEX($Z$8:$Z$47,$A17-GRAPH!B20),0)*GRAPH!B12+SUMPRODUCT(($D$8:$D$16=REGIONS!$B$7)*($F$8:$F$16+$A$8:$A$16=$A17)*$E$8:$E$16)+SUMPRODUCT(($N$8:$N$16=REGIONS!$B$7)*($P$8:$P$16+$A$8:$A$16=$A17)*$O$8:$O$16)</f>
        <v>0.0794</v>
      </c>
      <c r="AB17" s="28" t="n">
        <f aca="false">CLIMATE!I17+IFERROR(INDEX($W$8:$W$47,$A17-GRAPH!C17),0)*GRAPH!C9+IFERROR(INDEX($X$8:$X$47,$A17-GRAPH!C18),0)*GRAPH!C10+IFERROR(INDEX($Y$8:$Y$47,$A17-GRAPH!C19),0)*GRAPH!C11+IFERROR(INDEX($Z$8:$Z$47,$A17-GRAPH!C20),0)*GRAPH!C12+SUMPRODUCT(($D$8:$D$16=REGIONS!$B$8)*($F$8:$F$16+$A$8:$A$16=$A17)*$E$8:$E$16)+SUMPRODUCT(($N$8:$N$16=REGIONS!$B$8)*($P$8:$P$16+$A$8:$A$16=$A17)*$O$8:$O$16)</f>
        <v>0.2312</v>
      </c>
      <c r="AC17" s="28" t="n">
        <f aca="false">CLIMATE!J17+IFERROR(INDEX($W$8:$W$47,$A17-GRAPH!D17),0)*GRAPH!D9+IFERROR(INDEX($X$8:$X$47,$A17-GRAPH!D18),0)*GRAPH!D10+IFERROR(INDEX($Y$8:$Y$47,$A17-GRAPH!D19),0)*GRAPH!D11+IFERROR(INDEX($Z$8:$Z$47,$A17-GRAPH!D20),0)*GRAPH!D12+SUMPRODUCT(($D$8:$D$16=REGIONS!$B$9)*($F$8:$F$16+$A$8:$A$16=$A17)*$E$8:$E$16)+SUMPRODUCT(($N$8:$N$16=REGIONS!$B$9)*($P$8:$P$16+$A$8:$A$16=$A17)*$O$8:$O$16)</f>
        <v>-0.236</v>
      </c>
      <c r="AD17" s="28" t="n">
        <f aca="false">CLIMATE!K17+IFERROR(INDEX($W$8:$W$47,$A17-GRAPH!E17),0)*GRAPH!E9+IFERROR(INDEX($X$8:$X$47,$A17-GRAPH!E18),0)*GRAPH!E10+IFERROR(INDEX($Y$8:$Y$47,$A17-GRAPH!E19),0)*GRAPH!E11+IFERROR(INDEX($Z$8:$Z$47,$A17-GRAPH!E20),0)*GRAPH!E12+SUMPRODUCT(($D$8:$D$16=REGIONS!$B$10)*($F$8:$F$16+$A$8:$A$16=$A17)*$E$8:$E$16)+SUMPRODUCT(($N$8:$N$16=REGIONS!$B$10)*($P$8:$P$16+$A$8:$A$16=$A17)*$O$8:$O$16)</f>
        <v>1.1885</v>
      </c>
      <c r="AE17" s="28" t="n">
        <f aca="false">CLIMATE!L17+IFERROR(INDEX($W$8:$W$47,$A17-GRAPH!F17),0)*GRAPH!F9+IFERROR(INDEX($X$8:$X$47,$A17-GRAPH!F18),0)*GRAPH!F10+IFERROR(INDEX($Y$8:$Y$47,$A17-GRAPH!F19),0)*GRAPH!F11+IFERROR(INDEX($Z$8:$Z$47,$A17-GRAPH!F20),0)*GRAPH!F12+SUMPRODUCT(($D$8:$D$16=REGIONS!$B$11)*($F$8:$F$16+$A$8:$A$16=$A17)*$E$8:$E$16)+SUMPRODUCT(($N$8:$N$16=REGIONS!$B$11)*($P$8:$P$16+$A$8:$A$16=$A17)*$O$8:$O$16)</f>
        <v>1.3896</v>
      </c>
      <c r="AF17" s="28" t="n">
        <f aca="false">CLIMATE!M17+IFERROR(INDEX($W$8:$W$47,$A17-GRAPH!G17),0)*GRAPH!G9+IFERROR(INDEX($X$8:$X$47,$A17-GRAPH!G18),0)*GRAPH!G10+IFERROR(INDEX($Y$8:$Y$47,$A17-GRAPH!G19),0)*GRAPH!G11+IFERROR(INDEX($Z$8:$Z$47,$A17-GRAPH!G20),0)*GRAPH!G12+SUMPRODUCT(($D$8:$D$16=REGIONS!$B$12)*($F$8:$F$16+$A$8:$A$16=$A17)*$E$8:$E$16)+SUMPRODUCT(($N$8:$N$16=REGIONS!$B$12)*($P$8:$P$16+$A$8:$A$16=$A17)*$O$8:$O$16)</f>
        <v>1.2838</v>
      </c>
      <c r="AG17" s="28" t="n">
        <f aca="false">CLIMATE!N17+IFERROR(INDEX($W$8:$W$47,$A17-GRAPH!H17),0)*GRAPH!H9+IFERROR(INDEX($X$8:$X$47,$A17-GRAPH!H18),0)*GRAPH!H10+IFERROR(INDEX($Y$8:$Y$47,$A17-GRAPH!H19),0)*GRAPH!H11+IFERROR(INDEX($Z$8:$Z$47,$A17-GRAPH!H20),0)*GRAPH!H12+SUMPRODUCT(($D$8:$D$16=REGIONS!$B$13)*($F$8:$F$16+$A$8:$A$16=$A17)*$E$8:$E$16)+SUMPRODUCT(($N$8:$N$16=REGIONS!$B$13)*($P$8:$P$16+$A$8:$A$16=$A17)*$O$8:$O$16)</f>
        <v>0.8802</v>
      </c>
      <c r="AH17" s="28" t="n">
        <f aca="false">CLIMATE!O17+IFERROR(INDEX($W$8:$W$47,$A17-GRAPH!I17),0)*GRAPH!I9+IFERROR(INDEX($X$8:$X$47,$A17-GRAPH!I18),0)*GRAPH!I10+IFERROR(INDEX($Y$8:$Y$47,$A17-GRAPH!I19),0)*GRAPH!I11+IFERROR(INDEX($Z$8:$Z$47,$A17-GRAPH!I20),0)*GRAPH!I12+SUMPRODUCT(($D$8:$D$16=REGIONS!$B$14)*($F$8:$F$16+$A$8:$A$16=$A17)*$E$8:$E$16)+SUMPRODUCT(($N$8:$N$16=REGIONS!$B$14)*($P$8:$P$16+$A$8:$A$16=$A17)*$O$8:$O$16)</f>
        <v>0.1846</v>
      </c>
      <c r="AI17" s="28" t="n">
        <f aca="false">REGIONS!$F$7*(1+ASSUMPTIONS!$B$19*$A17)</f>
        <v>0.848</v>
      </c>
      <c r="AJ17" s="28" t="n">
        <f aca="false">REGIONS!$F$8*(1+ASSUMPTIONS!$B$19*$A17)</f>
        <v>0.954</v>
      </c>
      <c r="AK17" s="28" t="n">
        <f aca="false">REGIONS!$F$9*(1+ASSUMPTIONS!$B$19*$A17)</f>
        <v>0.954</v>
      </c>
      <c r="AL17" s="28" t="n">
        <f aca="false">REGIONS!$F$10*(1+ASSUMPTIONS!$B$19*$A17)</f>
        <v>0.742</v>
      </c>
      <c r="AM17" s="28" t="n">
        <f aca="false">REGIONS!$F$11*(1+ASSUMPTIONS!$B$19*$A17)</f>
        <v>0.742</v>
      </c>
      <c r="AN17" s="28" t="n">
        <f aca="false">REGIONS!$F$12*(1+ASSUMPTIONS!$B$19*$A17)</f>
        <v>1.166</v>
      </c>
      <c r="AO17" s="28" t="n">
        <f aca="false">REGIONS!$F$13*(1+ASSUMPTIONS!$B$19*$A17)</f>
        <v>1.272</v>
      </c>
      <c r="AP17" s="28" t="n">
        <f aca="false">REGIONS!$F$14*(1+ASSUMPTIONS!$B$19*$A17)</f>
        <v>1.272</v>
      </c>
      <c r="AQ17" s="11" t="n">
        <f aca="false">SUMPRODUCT(($D$8:$D$47=REGIONS!$B$7)*($A$8:$A$47&lt;=$A17)*$L$8:$L$47)+SUMPRODUCT(($N$8:$N$47=REGIONS!$B$7)*($A$8:$A$47&lt;=$A17)*$V$8:$V$47)</f>
        <v>0</v>
      </c>
      <c r="AR17" s="11" t="n">
        <f aca="false">SUMPRODUCT(($D$8:$D$47=REGIONS!$B$8)*($A$8:$A$47&lt;=$A17)*$L$8:$L$47)+SUMPRODUCT(($N$8:$N$47=REGIONS!$B$8)*($A$8:$A$47&lt;=$A17)*$V$8:$V$47)</f>
        <v>0</v>
      </c>
      <c r="AS17" s="11" t="n">
        <f aca="false">SUMPRODUCT(($D$8:$D$47=REGIONS!$B$9)*($A$8:$A$47&lt;=$A17)*$L$8:$L$47)+SUMPRODUCT(($N$8:$N$47=REGIONS!$B$9)*($A$8:$A$47&lt;=$A17)*$V$8:$V$47)</f>
        <v>0</v>
      </c>
      <c r="AT17" s="11" t="n">
        <f aca="false">SUMPRODUCT(($D$8:$D$47=REGIONS!$B$10)*($A$8:$A$47&lt;=$A17)*$L$8:$L$47)+SUMPRODUCT(($N$8:$N$47=REGIONS!$B$10)*($A$8:$A$47&lt;=$A17)*$V$8:$V$47)</f>
        <v>0</v>
      </c>
      <c r="AU17" s="11" t="n">
        <f aca="false">SUMPRODUCT(($D$8:$D$47=REGIONS!$B$11)*($A$8:$A$47&lt;=$A17)*$L$8:$L$47)+SUMPRODUCT(($N$8:$N$47=REGIONS!$B$11)*($A$8:$A$47&lt;=$A17)*$V$8:$V$47)</f>
        <v>0</v>
      </c>
      <c r="AV17" s="11" t="n">
        <f aca="false">SUMPRODUCT(($D$8:$D$47=REGIONS!$B$12)*($A$8:$A$47&lt;=$A17)*$L$8:$L$47)+SUMPRODUCT(($N$8:$N$47=REGIONS!$B$12)*($A$8:$A$47&lt;=$A17)*$V$8:$V$47)</f>
        <v>0</v>
      </c>
      <c r="AW17" s="11" t="n">
        <f aca="false">SUMPRODUCT(($D$8:$D$47=REGIONS!$B$13)*($A$8:$A$47&lt;=$A17)*$L$8:$L$47)+SUMPRODUCT(($N$8:$N$47=REGIONS!$B$13)*($A$8:$A$47&lt;=$A17)*$V$8:$V$47)</f>
        <v>0</v>
      </c>
      <c r="AX17" s="11" t="n">
        <f aca="false">SUMPRODUCT(($D$8:$D$47=REGIONS!$B$14)*($A$8:$A$47&lt;=$A17)*$L$8:$L$47)+SUMPRODUCT(($N$8:$N$47=REGIONS!$B$14)*($A$8:$A$47&lt;=$A17)*$V$8:$V$47)</f>
        <v>0</v>
      </c>
      <c r="AY17" s="12" t="n">
        <f aca="false">MAX(0,MIN(135,100-(MAX(0,-$AA17)*REGIONS!$E$7*ASSUMPTIONS!$B$7+MAX(0,$AA17-ASSUMPTIONS!$B$9)*REGIONS!$E$7*ASSUMPTIONS!$B$8)*(1-$AQ17/100)))</f>
        <v>100</v>
      </c>
      <c r="AZ17" s="12" t="n">
        <f aca="false">MAX(0,MIN(135,100-(MAX(0,-$AB17)*REGIONS!$E$8*ASSUMPTIONS!$B$7+MAX(0,$AB17-ASSUMPTIONS!$B$9)*REGIONS!$E$8*ASSUMPTIONS!$B$8)*(1-$AR17/100)))</f>
        <v>100</v>
      </c>
      <c r="BA17" s="12" t="n">
        <f aca="false">MAX(0,MIN(135,100-(MAX(0,-$AC17)*REGIONS!$E$9*ASSUMPTIONS!$B$7+MAX(0,$AC17-ASSUMPTIONS!$B$9)*REGIONS!$E$9*ASSUMPTIONS!$B$8)*(1-$AS17/100)))</f>
        <v>96.696</v>
      </c>
      <c r="BB17" s="12" t="n">
        <f aca="false">MAX(0,MIN(135,100-(MAX(0,-$AD17)*REGIONS!$E$10*ASSUMPTIONS!$B$7+MAX(0,$AD17-ASSUMPTIONS!$B$9)*REGIONS!$E$10*ASSUMPTIONS!$B$8)*(1-$AT17/100)))</f>
        <v>100</v>
      </c>
      <c r="BC17" s="12" t="n">
        <f aca="false">MAX(0,MIN(135,100-(MAX(0,-$AE17)*REGIONS!$E$11*ASSUMPTIONS!$B$7+MAX(0,$AE17-ASSUMPTIONS!$B$9)*REGIONS!$E$11*ASSUMPTIONS!$B$8)*(1-$AU17/100)))</f>
        <v>98.33152</v>
      </c>
      <c r="BD17" s="12" t="n">
        <f aca="false">MAX(0,MIN(135,100-(MAX(0,-$AF17)*REGIONS!$E$12*ASSUMPTIONS!$B$7+MAX(0,$AF17-ASSUMPTIONS!$B$9)*REGIONS!$E$12*ASSUMPTIONS!$B$8)*(1-$AV17/100)))</f>
        <v>99.12848</v>
      </c>
      <c r="BE17" s="12" t="n">
        <f aca="false">MAX(0,MIN(135,100-(MAX(0,-$AG17)*REGIONS!$E$13*ASSUMPTIONS!$B$7+MAX(0,$AG17-ASSUMPTIONS!$B$9)*REGIONS!$E$13*ASSUMPTIONS!$B$8)*(1-$AW17/100)))</f>
        <v>100</v>
      </c>
      <c r="BF17" s="12" t="n">
        <f aca="false">MAX(0,MIN(135,100-(MAX(0,-$AH17)*REGIONS!$E$14*ASSUMPTIONS!$B$7+MAX(0,$AH17-ASSUMPTIONS!$B$9)*REGIONS!$E$14*ASSUMPTIONS!$B$8)*(1-$AX17/100)))</f>
        <v>100</v>
      </c>
      <c r="BG17" s="12" t="n">
        <f aca="false">$AY17*REGIONS!$D$7/100+$AZ17*REGIONS!$D$8/100+$BA17*REGIONS!$D$9/100+$BB17*REGIONS!$D$10/100+$BC17*REGIONS!$D$11/100+$BD17*REGIONS!$D$12/100+$BE17*REGIONS!$D$13/100+$BF17*REGIONS!$D$14/100</f>
        <v>99.243176</v>
      </c>
      <c r="BH17" s="12" t="n">
        <f aca="false">100*(100/MAX(1,$BG17))^ASSUMPTIONS!$B$10</f>
        <v>101.376856960286</v>
      </c>
      <c r="BI17" s="12" t="n">
        <f aca="false">$AY17*$BH17/100*ASSUMPTIONS!$B$11</f>
        <v>86.1703284162434</v>
      </c>
      <c r="BJ17" s="28" t="n">
        <f aca="false">MAX(0,ABS($AA17)-$AI17*ASSUMPTIONS!$B$24)*REGIONS!$D$7/100+MAX(0,ABS($AB17)-$AJ17*ASSUMPTIONS!$B$24)*REGIONS!$D$8/100+MAX(0,ABS($AC17)-$AK17*ASSUMPTIONS!$B$24)*REGIONS!$D$9/100+MAX(0,ABS($AD17)-$AL17*ASSUMPTIONS!$B$24)*REGIONS!$D$10/100+MAX(0,ABS($AE17)-$AM17*ASSUMPTIONS!$B$24)*REGIONS!$D$11/100+MAX(0,ABS($AF17)-$AN17*ASSUMPTIONS!$B$24)*REGIONS!$D$12/100+MAX(0,ABS($AG17)-$AO17*ASSUMPTIONS!$B$24)*REGIONS!$D$13/100+MAX(0,ABS($AH17)-$AP17*ASSUMPTIONS!$B$24)*REGIONS!$D$14/100</f>
        <v>0.242383</v>
      </c>
      <c r="BK17" s="12" t="n">
        <f aca="false">MIN(ASSUMPTIONS!$B$14,ASSUMPTIONS!$B$12+$BJ17*ASSUMPTIONS!$B$13)</f>
        <v>38.180086</v>
      </c>
      <c r="BL17" s="11" t="n">
        <f aca="false">$H17+$R17</f>
        <v>0</v>
      </c>
      <c r="BM17" s="11" t="n">
        <f aca="false">PLAY!$H17</f>
        <v>0</v>
      </c>
      <c r="BN17" s="12" t="n">
        <f aca="false">$BI17*ASSUMPTIONS!$B$15+$BK17*ASSUMPTIONS!$B$16</f>
        <v>44.7025168099492</v>
      </c>
      <c r="BO17" s="12" t="n">
        <f aca="false">$BO16+$BN17-$BL17-$BM17-ASSUMPTIONS!$B$23</f>
        <v>149.406702951569</v>
      </c>
      <c r="BP17" s="12" t="n">
        <f aca="false">(SUMPRODUCT(($F$8:$F$16+$A$8:$A$16=$A17)*($C$8:$C$16&lt;&gt;"NONE")*$G$8:$G$16)+SUMPRODUCT(($P$8:$P$16+$A$8:$A$16=$A17)*($M$8:$M$16&lt;&gt;"NONE")*$Q$8:$Q$16))*(1+ASSUMPTIONS!$B$22*(MAX(0,ABS($AA17)/$AI17-1)+MAX(0,ABS($AB17)/$AJ17-1)+MAX(0,ABS($AC17)/$AK17-1)+MAX(0,ABS($AD17)/$AL17-1)+MAX(0,ABS($AE17)/$AM17-1)+MAX(0,ABS($AF17)/$AN17-1)+MAX(0,ABS($AG17)/$AO17-1)+MAX(0,ABS($AH17)/$AP17-1))/8)</f>
        <v>0</v>
      </c>
      <c r="BQ17" s="12" t="n">
        <f aca="false">MAX(0,$BQ16*(1-ASSUMPTIONS!$B$18)+$BP17-$BM17*ASSUMPTIONS!$B$17)</f>
        <v>1.523595577222</v>
      </c>
    </row>
    <row r="18" customFormat="false" ht="15" hidden="false" customHeight="false" outlineLevel="0" collapsed="false">
      <c r="A18" s="13" t="n">
        <v>11</v>
      </c>
      <c r="B18" s="11" t="n">
        <f aca="false">CLIMATE!B18</f>
        <v>1948</v>
      </c>
      <c r="C18" s="13" t="str">
        <f aca="false">IFERROR(INDEX(CAPABILITIES!$B$7:$B$15,MATCH(PLAY!$D18,CAPABILITIES!$A$7:$A$15,0)),"NONE")</f>
        <v>NONE</v>
      </c>
      <c r="D18" s="13" t="n">
        <f aca="false">IFERROR(IF(INDEX(CAPABILITIES!$B$7:$B$15,MATCH(PLAY!$D18,CAPABILITIES!$A$7:$A$15,0))="DRIVER",INDEX(CAPABILITIES!$C$7:$C$15,MATCH(PLAY!$D18,CAPABILITIES!$A$7:$A$15,0)),PLAY!$E18),"")</f>
        <v>0</v>
      </c>
      <c r="E18" s="13" t="n">
        <f aca="false">IFERROR(INDEX(CAPABILITIES!$D$7:$D$15,MATCH(PLAY!$D18,CAPABILITIES!$A$7:$A$15,0))*IF(INDEX(CAPABILITIES!$K$7:$K$15,MATCH(PLAY!$D18,CAPABILITIES!$A$7:$A$15,0))="Y",IF(IFERROR(INDEX($AA17:$AH17,MATCH(PLAY!$E18,REGIONS!$B$7:$B$14,0)),0)&lt;ASSUMPTIONS!$B$20,1,ASSUMPTIONS!$B$21),1),0)</f>
        <v>0</v>
      </c>
      <c r="F18" s="13" t="n">
        <f aca="false">IFERROR(INDEX(CAPABILITIES!$E$7:$E$15,MATCH(PLAY!$D18,CAPABILITIES!$A$7:$A$15,0)),0)</f>
        <v>0</v>
      </c>
      <c r="G18" s="13" t="n">
        <f aca="false">IFERROR(INDEX(CAPABILITIES!$F$7:$F$15,MATCH(PLAY!$D18,CAPABILITIES!$A$7:$A$15,0)),0)</f>
        <v>0</v>
      </c>
      <c r="H18" s="13" t="n">
        <f aca="false">IFERROR(INDEX(CAPABILITIES!$G$7:$G$15,MATCH(PLAY!$D18,CAPABILITIES!$A$7:$A$15,0)),0)</f>
        <v>0</v>
      </c>
      <c r="I18" s="13" t="n">
        <f aca="false">IFERROR(INDEX(CAPABILITIES!$H$7:$H$15,MATCH(PLAY!$D18,CAPABILITIES!$A$7:$A$15,0)),"")</f>
        <v>0</v>
      </c>
      <c r="J18" s="13" t="n">
        <f aca="false">IFERROR(INDEX(CAPABILITIES!$D$7:$D$15,MATCH(PLAY!$D18,CAPABILITIES!$A$7:$A$15,0))*INDEX(CAPABILITIES!$I$7:$I$15,MATCH(PLAY!$D18,CAPABILITIES!$A$7:$A$15,0)),0)</f>
        <v>0</v>
      </c>
      <c r="K18" s="13" t="n">
        <f aca="false">IFERROR(INDEX(CAPABILITIES!$E$7:$E$15,MATCH(PLAY!$D18,CAPABILITIES!$A$7:$A$15,0))+INDEX(CAPABILITIES!$J$7:$J$15,MATCH(PLAY!$D18,CAPABILITIES!$A$7:$A$15,0)),0)</f>
        <v>0</v>
      </c>
      <c r="L18" s="13" t="n">
        <f aca="false">IFERROR(INDEX(CAPABILITIES!$L$7:$L$15,MATCH(PLAY!$D18,CAPABILITIES!$A$7:$A$15,0)),0)</f>
        <v>0</v>
      </c>
      <c r="M18" s="13" t="str">
        <f aca="false">IFERROR(INDEX(CAPABILITIES!$B$7:$B$15,MATCH(PLAY!$F18,CAPABILITIES!$A$7:$A$15,0)),"NONE")</f>
        <v>NONE</v>
      </c>
      <c r="N18" s="13" t="n">
        <f aca="false">IFERROR(IF(INDEX(CAPABILITIES!$B$7:$B$15,MATCH(PLAY!$F18,CAPABILITIES!$A$7:$A$15,0))="DRIVER",INDEX(CAPABILITIES!$C$7:$C$15,MATCH(PLAY!$F18,CAPABILITIES!$A$7:$A$15,0)),PLAY!$G18),"")</f>
        <v>0</v>
      </c>
      <c r="O18" s="13" t="n">
        <f aca="false">IFERROR(INDEX(CAPABILITIES!$D$7:$D$15,MATCH(PLAY!$F18,CAPABILITIES!$A$7:$A$15,0))*IF(INDEX(CAPABILITIES!$K$7:$K$15,MATCH(PLAY!$F18,CAPABILITIES!$A$7:$A$15,0))="Y",IF(IFERROR(INDEX($AA17:$AH17,MATCH(PLAY!$G18,REGIONS!$B$7:$B$14,0)),0)&lt;ASSUMPTIONS!$B$20,1,ASSUMPTIONS!$B$21),1),0)</f>
        <v>0</v>
      </c>
      <c r="P18" s="13" t="n">
        <f aca="false">IFERROR(INDEX(CAPABILITIES!$E$7:$E$15,MATCH(PLAY!$F18,CAPABILITIES!$A$7:$A$15,0)),0)</f>
        <v>0</v>
      </c>
      <c r="Q18" s="13" t="n">
        <f aca="false">IFERROR(INDEX(CAPABILITIES!$F$7:$F$15,MATCH(PLAY!$F18,CAPABILITIES!$A$7:$A$15,0)),0)</f>
        <v>0</v>
      </c>
      <c r="R18" s="13" t="n">
        <f aca="false">IFERROR(INDEX(CAPABILITIES!$G$7:$G$15,MATCH(PLAY!$F18,CAPABILITIES!$A$7:$A$15,0)),0)</f>
        <v>0</v>
      </c>
      <c r="S18" s="13" t="n">
        <f aca="false">IFERROR(INDEX(CAPABILITIES!$H$7:$H$15,MATCH(PLAY!$F18,CAPABILITIES!$A$7:$A$15,0)),"")</f>
        <v>0</v>
      </c>
      <c r="T18" s="13" t="n">
        <f aca="false">IFERROR(INDEX(CAPABILITIES!$D$7:$D$15,MATCH(PLAY!$F18,CAPABILITIES!$A$7:$A$15,0))*INDEX(CAPABILITIES!$I$7:$I$15,MATCH(PLAY!$F18,CAPABILITIES!$A$7:$A$15,0)),0)</f>
        <v>0</v>
      </c>
      <c r="U18" s="13" t="n">
        <f aca="false">IFERROR(INDEX(CAPABILITIES!$E$7:$E$15,MATCH(PLAY!$F18,CAPABILITIES!$A$7:$A$15,0))+INDEX(CAPABILITIES!$J$7:$J$15,MATCH(PLAY!$F18,CAPABILITIES!$A$7:$A$15,0)),0)</f>
        <v>0</v>
      </c>
      <c r="V18" s="13" t="n">
        <f aca="false">IFERROR(INDEX(CAPABILITIES!$L$7:$L$15,MATCH(PLAY!$F18,CAPABILITIES!$A$7:$A$15,0)),0)</f>
        <v>0</v>
      </c>
      <c r="W18" s="28" t="n">
        <f aca="false">CLIMATE!D18+SUMPRODUCT(($D$8:$D$17="ENSO")*($F$8:$F$17+$A$8:$A$17=$A18)*$E$8:$E$17)+SUMPRODUCT(($I$8:$I$17="ENSO")*($K$8:$K$17+$A$8:$A$17=$A18)*$J$8:$J$17)+SUMPRODUCT(($N$8:$N$17="ENSO")*($P$8:$P$17+$A$8:$A$17=$A18)*$O$8:$O$17)+SUMPRODUCT(($S$8:$S$17="ENSO")*($U$8:$U$17+$A$8:$A$17=$A18)*$T$8:$T$17)</f>
        <v>-0.472</v>
      </c>
      <c r="X18" s="28" t="n">
        <f aca="false">CLIMATE!E18+SUMPRODUCT(($D$8:$D$17="IOD")*($F$8:$F$17+$A$8:$A$17=$A18)*$E$8:$E$17)+SUMPRODUCT(($I$8:$I$17="IOD")*($K$8:$K$17+$A$8:$A$17=$A18)*$J$8:$J$17)+SUMPRODUCT(($N$8:$N$17="IOD")*($P$8:$P$17+$A$8:$A$17=$A18)*$O$8:$O$17)+SUMPRODUCT(($S$8:$S$17="IOD")*($U$8:$U$17+$A$8:$A$17=$A18)*$T$8:$T$17)</f>
        <v>-0.06</v>
      </c>
      <c r="Y18" s="28" t="n">
        <f aca="false">CLIMATE!F18+SUMPRODUCT(($D$8:$D$17="NATL")*($F$8:$F$17+$A$8:$A$17=$A18)*$E$8:$E$17)+SUMPRODUCT(($I$8:$I$17="NATL")*($K$8:$K$17+$A$8:$A$17=$A18)*$J$8:$J$17)+SUMPRODUCT(($N$8:$N$17="NATL")*($P$8:$P$17+$A$8:$A$17=$A18)*$O$8:$O$17)+SUMPRODUCT(($S$8:$S$17="NATL")*($U$8:$U$17+$A$8:$A$17=$A18)*$T$8:$T$17)</f>
        <v>0.552</v>
      </c>
      <c r="Z18" s="28" t="n">
        <f aca="false">CLIMATE!G18+SUMPRODUCT(($D$8:$D$17="GLOBAL")*($F$8:$F$17+$A$8:$A$17=$A18)*$E$8:$E$17)+SUMPRODUCT(($I$8:$I$17="GLOBAL")*($K$8:$K$17+$A$8:$A$17=$A18)*$J$8:$J$17)+SUMPRODUCT(($N$8:$N$17="GLOBAL")*($P$8:$P$17+$A$8:$A$17=$A18)*$O$8:$O$17)+SUMPRODUCT(($S$8:$S$17="GLOBAL")*($U$8:$U$17+$A$8:$A$17=$A18)*$T$8:$T$17)</f>
        <v>0</v>
      </c>
      <c r="AA18" s="28" t="n">
        <f aca="false">CLIMATE!H18+IFERROR(INDEX($W$8:$W$47,$A18-GRAPH!B17),0)*GRAPH!B9+IFERROR(INDEX($X$8:$X$47,$A18-GRAPH!B18),0)*GRAPH!B10+IFERROR(INDEX($Y$8:$Y$47,$A18-GRAPH!B19),0)*GRAPH!B11+IFERROR(INDEX($Z$8:$Z$47,$A18-GRAPH!B20),0)*GRAPH!B12+SUMPRODUCT(($D$8:$D$17=REGIONS!$B$7)*($F$8:$F$17+$A$8:$A$17=$A18)*$E$8:$E$17)+SUMPRODUCT(($N$8:$N$17=REGIONS!$B$7)*($P$8:$P$17+$A$8:$A$17=$A18)*$O$8:$O$17)</f>
        <v>-0.5072</v>
      </c>
      <c r="AB18" s="28" t="n">
        <f aca="false">CLIMATE!I18+IFERROR(INDEX($W$8:$W$47,$A18-GRAPH!C17),0)*GRAPH!C9+IFERROR(INDEX($X$8:$X$47,$A18-GRAPH!C18),0)*GRAPH!C10+IFERROR(INDEX($Y$8:$Y$47,$A18-GRAPH!C19),0)*GRAPH!C11+IFERROR(INDEX($Z$8:$Z$47,$A18-GRAPH!C20),0)*GRAPH!C12+SUMPRODUCT(($D$8:$D$17=REGIONS!$B$8)*($F$8:$F$17+$A$8:$A$17=$A18)*$E$8:$E$17)+SUMPRODUCT(($N$8:$N$17=REGIONS!$B$8)*($P$8:$P$17+$A$8:$A$17=$A18)*$O$8:$O$17)</f>
        <v>-0.0694</v>
      </c>
      <c r="AC18" s="28" t="n">
        <f aca="false">CLIMATE!J18+IFERROR(INDEX($W$8:$W$47,$A18-GRAPH!D17),0)*GRAPH!D9+IFERROR(INDEX($X$8:$X$47,$A18-GRAPH!D18),0)*GRAPH!D10+IFERROR(INDEX($Y$8:$Y$47,$A18-GRAPH!D19),0)*GRAPH!D11+IFERROR(INDEX($Z$8:$Z$47,$A18-GRAPH!D20),0)*GRAPH!D12+SUMPRODUCT(($D$8:$D$17=REGIONS!$B$9)*($F$8:$F$17+$A$8:$A$17=$A18)*$E$8:$E$17)+SUMPRODUCT(($N$8:$N$17=REGIONS!$B$9)*($P$8:$P$17+$A$8:$A$17=$A18)*$O$8:$O$17)</f>
        <v>-0.757</v>
      </c>
      <c r="AD18" s="28" t="n">
        <f aca="false">CLIMATE!K18+IFERROR(INDEX($W$8:$W$47,$A18-GRAPH!E17),0)*GRAPH!E9+IFERROR(INDEX($X$8:$X$47,$A18-GRAPH!E18),0)*GRAPH!E10+IFERROR(INDEX($Y$8:$Y$47,$A18-GRAPH!E19),0)*GRAPH!E11+IFERROR(INDEX($Z$8:$Z$47,$A18-GRAPH!E20),0)*GRAPH!E12+SUMPRODUCT(($D$8:$D$17=REGIONS!$B$10)*($F$8:$F$17+$A$8:$A$17=$A18)*$E$8:$E$17)+SUMPRODUCT(($N$8:$N$17=REGIONS!$B$10)*($P$8:$P$17+$A$8:$A$17=$A18)*$O$8:$O$17)</f>
        <v>0.8805</v>
      </c>
      <c r="AE18" s="28" t="n">
        <f aca="false">CLIMATE!L18+IFERROR(INDEX($W$8:$W$47,$A18-GRAPH!F17),0)*GRAPH!F9+IFERROR(INDEX($X$8:$X$47,$A18-GRAPH!F18),0)*GRAPH!F10+IFERROR(INDEX($Y$8:$Y$47,$A18-GRAPH!F19),0)*GRAPH!F11+IFERROR(INDEX($Z$8:$Z$47,$A18-GRAPH!F20),0)*GRAPH!F12+SUMPRODUCT(($D$8:$D$17=REGIONS!$B$11)*($F$8:$F$17+$A$8:$A$17=$A18)*$E$8:$E$17)+SUMPRODUCT(($N$8:$N$17=REGIONS!$B$11)*($P$8:$P$17+$A$8:$A$17=$A18)*$O$8:$O$17)</f>
        <v>0.7681</v>
      </c>
      <c r="AF18" s="28" t="n">
        <f aca="false">CLIMATE!M18+IFERROR(INDEX($W$8:$W$47,$A18-GRAPH!G17),0)*GRAPH!G9+IFERROR(INDEX($X$8:$X$47,$A18-GRAPH!G18),0)*GRAPH!G10+IFERROR(INDEX($Y$8:$Y$47,$A18-GRAPH!G19),0)*GRAPH!G11+IFERROR(INDEX($Z$8:$Z$47,$A18-GRAPH!G20),0)*GRAPH!G12+SUMPRODUCT(($D$8:$D$17=REGIONS!$B$12)*($F$8:$F$17+$A$8:$A$17=$A18)*$E$8:$E$17)+SUMPRODUCT(($N$8:$N$17=REGIONS!$B$12)*($P$8:$P$17+$A$8:$A$17=$A18)*$O$8:$O$17)</f>
        <v>0.7589</v>
      </c>
      <c r="AG18" s="28" t="n">
        <f aca="false">CLIMATE!N18+IFERROR(INDEX($W$8:$W$47,$A18-GRAPH!H17),0)*GRAPH!H9+IFERROR(INDEX($X$8:$X$47,$A18-GRAPH!H18),0)*GRAPH!H10+IFERROR(INDEX($Y$8:$Y$47,$A18-GRAPH!H19),0)*GRAPH!H11+IFERROR(INDEX($Z$8:$Z$47,$A18-GRAPH!H20),0)*GRAPH!H12+SUMPRODUCT(($D$8:$D$17=REGIONS!$B$13)*($F$8:$F$17+$A$8:$A$17=$A18)*$E$8:$E$17)+SUMPRODUCT(($N$8:$N$17=REGIONS!$B$13)*($P$8:$P$17+$A$8:$A$17=$A18)*$O$8:$O$17)</f>
        <v>0.8885</v>
      </c>
      <c r="AH18" s="28" t="n">
        <f aca="false">CLIMATE!O18+IFERROR(INDEX($W$8:$W$47,$A18-GRAPH!I17),0)*GRAPH!I9+IFERROR(INDEX($X$8:$X$47,$A18-GRAPH!I18),0)*GRAPH!I10+IFERROR(INDEX($Y$8:$Y$47,$A18-GRAPH!I19),0)*GRAPH!I11+IFERROR(INDEX($Z$8:$Z$47,$A18-GRAPH!I20),0)*GRAPH!I12+SUMPRODUCT(($D$8:$D$17=REGIONS!$B$14)*($F$8:$F$17+$A$8:$A$17=$A18)*$E$8:$E$17)+SUMPRODUCT(($N$8:$N$17=REGIONS!$B$14)*($P$8:$P$17+$A$8:$A$17=$A18)*$O$8:$O$17)</f>
        <v>-0.0764</v>
      </c>
      <c r="AI18" s="28" t="n">
        <f aca="false">REGIONS!$F$7*(1+ASSUMPTIONS!$B$19*$A18)</f>
        <v>0.8528</v>
      </c>
      <c r="AJ18" s="28" t="n">
        <f aca="false">REGIONS!$F$8*(1+ASSUMPTIONS!$B$19*$A18)</f>
        <v>0.9594</v>
      </c>
      <c r="AK18" s="28" t="n">
        <f aca="false">REGIONS!$F$9*(1+ASSUMPTIONS!$B$19*$A18)</f>
        <v>0.9594</v>
      </c>
      <c r="AL18" s="28" t="n">
        <f aca="false">REGIONS!$F$10*(1+ASSUMPTIONS!$B$19*$A18)</f>
        <v>0.7462</v>
      </c>
      <c r="AM18" s="28" t="n">
        <f aca="false">REGIONS!$F$11*(1+ASSUMPTIONS!$B$19*$A18)</f>
        <v>0.7462</v>
      </c>
      <c r="AN18" s="28" t="n">
        <f aca="false">REGIONS!$F$12*(1+ASSUMPTIONS!$B$19*$A18)</f>
        <v>1.1726</v>
      </c>
      <c r="AO18" s="28" t="n">
        <f aca="false">REGIONS!$F$13*(1+ASSUMPTIONS!$B$19*$A18)</f>
        <v>1.2792</v>
      </c>
      <c r="AP18" s="28" t="n">
        <f aca="false">REGIONS!$F$14*(1+ASSUMPTIONS!$B$19*$A18)</f>
        <v>1.2792</v>
      </c>
      <c r="AQ18" s="11" t="n">
        <f aca="false">SUMPRODUCT(($D$8:$D$47=REGIONS!$B$7)*($A$8:$A$47&lt;=$A18)*$L$8:$L$47)+SUMPRODUCT(($N$8:$N$47=REGIONS!$B$7)*($A$8:$A$47&lt;=$A18)*$V$8:$V$47)</f>
        <v>0</v>
      </c>
      <c r="AR18" s="11" t="n">
        <f aca="false">SUMPRODUCT(($D$8:$D$47=REGIONS!$B$8)*($A$8:$A$47&lt;=$A18)*$L$8:$L$47)+SUMPRODUCT(($N$8:$N$47=REGIONS!$B$8)*($A$8:$A$47&lt;=$A18)*$V$8:$V$47)</f>
        <v>0</v>
      </c>
      <c r="AS18" s="11" t="n">
        <f aca="false">SUMPRODUCT(($D$8:$D$47=REGIONS!$B$9)*($A$8:$A$47&lt;=$A18)*$L$8:$L$47)+SUMPRODUCT(($N$8:$N$47=REGIONS!$B$9)*($A$8:$A$47&lt;=$A18)*$V$8:$V$47)</f>
        <v>0</v>
      </c>
      <c r="AT18" s="11" t="n">
        <f aca="false">SUMPRODUCT(($D$8:$D$47=REGIONS!$B$10)*($A$8:$A$47&lt;=$A18)*$L$8:$L$47)+SUMPRODUCT(($N$8:$N$47=REGIONS!$B$10)*($A$8:$A$47&lt;=$A18)*$V$8:$V$47)</f>
        <v>0</v>
      </c>
      <c r="AU18" s="11" t="n">
        <f aca="false">SUMPRODUCT(($D$8:$D$47=REGIONS!$B$11)*($A$8:$A$47&lt;=$A18)*$L$8:$L$47)+SUMPRODUCT(($N$8:$N$47=REGIONS!$B$11)*($A$8:$A$47&lt;=$A18)*$V$8:$V$47)</f>
        <v>0</v>
      </c>
      <c r="AV18" s="11" t="n">
        <f aca="false">SUMPRODUCT(($D$8:$D$47=REGIONS!$B$12)*($A$8:$A$47&lt;=$A18)*$L$8:$L$47)+SUMPRODUCT(($N$8:$N$47=REGIONS!$B$12)*($A$8:$A$47&lt;=$A18)*$V$8:$V$47)</f>
        <v>0</v>
      </c>
      <c r="AW18" s="11" t="n">
        <f aca="false">SUMPRODUCT(($D$8:$D$47=REGIONS!$B$13)*($A$8:$A$47&lt;=$A18)*$L$8:$L$47)+SUMPRODUCT(($N$8:$N$47=REGIONS!$B$13)*($A$8:$A$47&lt;=$A18)*$V$8:$V$47)</f>
        <v>0</v>
      </c>
      <c r="AX18" s="11" t="n">
        <f aca="false">SUMPRODUCT(($D$8:$D$47=REGIONS!$B$14)*($A$8:$A$47&lt;=$A18)*$L$8:$L$47)+SUMPRODUCT(($N$8:$N$47=REGIONS!$B$14)*($A$8:$A$47&lt;=$A18)*$V$8:$V$47)</f>
        <v>0</v>
      </c>
      <c r="AY18" s="12" t="n">
        <f aca="false">MAX(0,MIN(135,100-(MAX(0,-$AA18)*REGIONS!$E$7*ASSUMPTIONS!$B$7+MAX(0,$AA18-ASSUMPTIONS!$B$9)*REGIONS!$E$7*ASSUMPTIONS!$B$8)*(1-$AQ18/100)))</f>
        <v>92.8992</v>
      </c>
      <c r="AZ18" s="12" t="n">
        <f aca="false">MAX(0,MIN(135,100-(MAX(0,-$AB18)*REGIONS!$E$8*ASSUMPTIONS!$B$7+MAX(0,$AB18-ASSUMPTIONS!$B$9)*REGIONS!$E$8*ASSUMPTIONS!$B$8)*(1-$AR18/100)))</f>
        <v>98.93124</v>
      </c>
      <c r="BA18" s="12" t="n">
        <f aca="false">MAX(0,MIN(135,100-(MAX(0,-$AC18)*REGIONS!$E$9*ASSUMPTIONS!$B$7+MAX(0,$AC18-ASSUMPTIONS!$B$9)*REGIONS!$E$9*ASSUMPTIONS!$B$8)*(1-$AS18/100)))</f>
        <v>89.402</v>
      </c>
      <c r="BB18" s="12" t="n">
        <f aca="false">MAX(0,MIN(135,100-(MAX(0,-$AD18)*REGIONS!$E$10*ASSUMPTIONS!$B$7+MAX(0,$AD18-ASSUMPTIONS!$B$9)*REGIONS!$E$10*ASSUMPTIONS!$B$8)*(1-$AT18/100)))</f>
        <v>100</v>
      </c>
      <c r="BC18" s="12" t="n">
        <f aca="false">MAX(0,MIN(135,100-(MAX(0,-$AE18)*REGIONS!$E$11*ASSUMPTIONS!$B$7+MAX(0,$AE18-ASSUMPTIONS!$B$9)*REGIONS!$E$11*ASSUMPTIONS!$B$8)*(1-$AU18/100)))</f>
        <v>100</v>
      </c>
      <c r="BD18" s="12" t="n">
        <f aca="false">MAX(0,MIN(135,100-(MAX(0,-$AF18)*REGIONS!$E$12*ASSUMPTIONS!$B$7+MAX(0,$AF18-ASSUMPTIONS!$B$9)*REGIONS!$E$12*ASSUMPTIONS!$B$8)*(1-$AV18/100)))</f>
        <v>100</v>
      </c>
      <c r="BE18" s="12" t="n">
        <f aca="false">MAX(0,MIN(135,100-(MAX(0,-$AG18)*REGIONS!$E$13*ASSUMPTIONS!$B$7+MAX(0,$AG18-ASSUMPTIONS!$B$9)*REGIONS!$E$13*ASSUMPTIONS!$B$8)*(1-$AW18/100)))</f>
        <v>100</v>
      </c>
      <c r="BF18" s="12" t="n">
        <f aca="false">MAX(0,MIN(135,100-(MAX(0,-$AH18)*REGIONS!$E$14*ASSUMPTIONS!$B$7+MAX(0,$AH18-ASSUMPTIONS!$B$9)*REGIONS!$E$14*ASSUMPTIONS!$B$8)*(1-$AX18/100)))</f>
        <v>98.50256</v>
      </c>
      <c r="BG18" s="12" t="n">
        <f aca="false">$AY18*REGIONS!$D$7/100+$AZ18*REGIONS!$D$8/100+$BA18*REGIONS!$D$9/100+$BB18*REGIONS!$D$10/100+$BC18*REGIONS!$D$11/100+$BD18*REGIONS!$D$12/100+$BE18*REGIONS!$D$13/100+$BF18*REGIONS!$D$14/100</f>
        <v>96.729292</v>
      </c>
      <c r="BH18" s="12" t="n">
        <f aca="false">100*(100/MAX(1,$BG18))^ASSUMPTIONS!$B$10</f>
        <v>106.16847611639</v>
      </c>
      <c r="BI18" s="12" t="n">
        <f aca="false">$AY18*$BH18/100*ASSUMPTIONS!$B$11</f>
        <v>83.8352152196698</v>
      </c>
      <c r="BJ18" s="28" t="n">
        <f aca="false">MAX(0,ABS($AA18)-$AI18*ASSUMPTIONS!$B$24)*REGIONS!$D$7/100+MAX(0,ABS($AB18)-$AJ18*ASSUMPTIONS!$B$24)*REGIONS!$D$8/100+MAX(0,ABS($AC18)-$AK18*ASSUMPTIONS!$B$24)*REGIONS!$D$9/100+MAX(0,ABS($AD18)-$AL18*ASSUMPTIONS!$B$24)*REGIONS!$D$10/100+MAX(0,ABS($AE18)-$AM18*ASSUMPTIONS!$B$24)*REGIONS!$D$11/100+MAX(0,ABS($AF18)-$AN18*ASSUMPTIONS!$B$24)*REGIONS!$D$12/100+MAX(0,ABS($AG18)-$AO18*ASSUMPTIONS!$B$24)*REGIONS!$D$13/100+MAX(0,ABS($AH18)-$AP18*ASSUMPTIONS!$B$24)*REGIONS!$D$14/100</f>
        <v>0.0883845</v>
      </c>
      <c r="BK18" s="12" t="n">
        <f aca="false">MIN(ASSUMPTIONS!$B$14,ASSUMPTIONS!$B$12+$BJ18*ASSUMPTIONS!$B$13)</f>
        <v>31.712149</v>
      </c>
      <c r="BL18" s="11" t="n">
        <f aca="false">$H18+$R18</f>
        <v>0</v>
      </c>
      <c r="BM18" s="11" t="n">
        <f aca="false">PLAY!$H18</f>
        <v>0</v>
      </c>
      <c r="BN18" s="12" t="n">
        <f aca="false">$BI18*ASSUMPTIONS!$B$15+$BK18*ASSUMPTIONS!$B$16</f>
        <v>38.6011599263604</v>
      </c>
      <c r="BO18" s="12" t="n">
        <f aca="false">$BO17+$BN18-$BL18-$BM18-ASSUMPTIONS!$B$23</f>
        <v>156.007862877929</v>
      </c>
      <c r="BP18" s="12" t="n">
        <f aca="false">(SUMPRODUCT(($F$8:$F$17+$A$8:$A$17=$A18)*($C$8:$C$17&lt;&gt;"NONE")*$G$8:$G$17)+SUMPRODUCT(($P$8:$P$17+$A$8:$A$17=$A18)*($M$8:$M$17&lt;&gt;"NONE")*$Q$8:$Q$17))*(1+ASSUMPTIONS!$B$22*(MAX(0,ABS($AA18)/$AI18-1)+MAX(0,ABS($AB18)/$AJ18-1)+MAX(0,ABS($AC18)/$AK18-1)+MAX(0,ABS($AD18)/$AL18-1)+MAX(0,ABS($AE18)/$AM18-1)+MAX(0,ABS($AF18)/$AN18-1)+MAX(0,ABS($AG18)/$AO18-1)+MAX(0,ABS($AH18)/$AP18-1))/8)</f>
        <v>0</v>
      </c>
      <c r="BQ18" s="12" t="n">
        <f aca="false">MAX(0,$BQ17*(1-ASSUMPTIONS!$B$18)+$BP18-$BM18*ASSUMPTIONS!$B$17)</f>
        <v>1.46265175413312</v>
      </c>
    </row>
    <row r="19" customFormat="false" ht="15" hidden="false" customHeight="false" outlineLevel="0" collapsed="false">
      <c r="A19" s="13" t="n">
        <v>12</v>
      </c>
      <c r="B19" s="11" t="n">
        <f aca="false">CLIMATE!B19</f>
        <v>1948</v>
      </c>
      <c r="C19" s="13" t="str">
        <f aca="false">IFERROR(INDEX(CAPABILITIES!$B$7:$B$15,MATCH(PLAY!$D19,CAPABILITIES!$A$7:$A$15,0)),"NONE")</f>
        <v>NONE</v>
      </c>
      <c r="D19" s="13" t="n">
        <f aca="false">IFERROR(IF(INDEX(CAPABILITIES!$B$7:$B$15,MATCH(PLAY!$D19,CAPABILITIES!$A$7:$A$15,0))="DRIVER",INDEX(CAPABILITIES!$C$7:$C$15,MATCH(PLAY!$D19,CAPABILITIES!$A$7:$A$15,0)),PLAY!$E19),"")</f>
        <v>0</v>
      </c>
      <c r="E19" s="13" t="n">
        <f aca="false">IFERROR(INDEX(CAPABILITIES!$D$7:$D$15,MATCH(PLAY!$D19,CAPABILITIES!$A$7:$A$15,0))*IF(INDEX(CAPABILITIES!$K$7:$K$15,MATCH(PLAY!$D19,CAPABILITIES!$A$7:$A$15,0))="Y",IF(IFERROR(INDEX($AA18:$AH18,MATCH(PLAY!$E19,REGIONS!$B$7:$B$14,0)),0)&lt;ASSUMPTIONS!$B$20,1,ASSUMPTIONS!$B$21),1),0)</f>
        <v>0</v>
      </c>
      <c r="F19" s="13" t="n">
        <f aca="false">IFERROR(INDEX(CAPABILITIES!$E$7:$E$15,MATCH(PLAY!$D19,CAPABILITIES!$A$7:$A$15,0)),0)</f>
        <v>0</v>
      </c>
      <c r="G19" s="13" t="n">
        <f aca="false">IFERROR(INDEX(CAPABILITIES!$F$7:$F$15,MATCH(PLAY!$D19,CAPABILITIES!$A$7:$A$15,0)),0)</f>
        <v>0</v>
      </c>
      <c r="H19" s="13" t="n">
        <f aca="false">IFERROR(INDEX(CAPABILITIES!$G$7:$G$15,MATCH(PLAY!$D19,CAPABILITIES!$A$7:$A$15,0)),0)</f>
        <v>0</v>
      </c>
      <c r="I19" s="13" t="n">
        <f aca="false">IFERROR(INDEX(CAPABILITIES!$H$7:$H$15,MATCH(PLAY!$D19,CAPABILITIES!$A$7:$A$15,0)),"")</f>
        <v>0</v>
      </c>
      <c r="J19" s="13" t="n">
        <f aca="false">IFERROR(INDEX(CAPABILITIES!$D$7:$D$15,MATCH(PLAY!$D19,CAPABILITIES!$A$7:$A$15,0))*INDEX(CAPABILITIES!$I$7:$I$15,MATCH(PLAY!$D19,CAPABILITIES!$A$7:$A$15,0)),0)</f>
        <v>0</v>
      </c>
      <c r="K19" s="13" t="n">
        <f aca="false">IFERROR(INDEX(CAPABILITIES!$E$7:$E$15,MATCH(PLAY!$D19,CAPABILITIES!$A$7:$A$15,0))+INDEX(CAPABILITIES!$J$7:$J$15,MATCH(PLAY!$D19,CAPABILITIES!$A$7:$A$15,0)),0)</f>
        <v>0</v>
      </c>
      <c r="L19" s="13" t="n">
        <f aca="false">IFERROR(INDEX(CAPABILITIES!$L$7:$L$15,MATCH(PLAY!$D19,CAPABILITIES!$A$7:$A$15,0)),0)</f>
        <v>0</v>
      </c>
      <c r="M19" s="13" t="str">
        <f aca="false">IFERROR(INDEX(CAPABILITIES!$B$7:$B$15,MATCH(PLAY!$F19,CAPABILITIES!$A$7:$A$15,0)),"NONE")</f>
        <v>NONE</v>
      </c>
      <c r="N19" s="13" t="n">
        <f aca="false">IFERROR(IF(INDEX(CAPABILITIES!$B$7:$B$15,MATCH(PLAY!$F19,CAPABILITIES!$A$7:$A$15,0))="DRIVER",INDEX(CAPABILITIES!$C$7:$C$15,MATCH(PLAY!$F19,CAPABILITIES!$A$7:$A$15,0)),PLAY!$G19),"")</f>
        <v>0</v>
      </c>
      <c r="O19" s="13" t="n">
        <f aca="false">IFERROR(INDEX(CAPABILITIES!$D$7:$D$15,MATCH(PLAY!$F19,CAPABILITIES!$A$7:$A$15,0))*IF(INDEX(CAPABILITIES!$K$7:$K$15,MATCH(PLAY!$F19,CAPABILITIES!$A$7:$A$15,0))="Y",IF(IFERROR(INDEX($AA18:$AH18,MATCH(PLAY!$G19,REGIONS!$B$7:$B$14,0)),0)&lt;ASSUMPTIONS!$B$20,1,ASSUMPTIONS!$B$21),1),0)</f>
        <v>0</v>
      </c>
      <c r="P19" s="13" t="n">
        <f aca="false">IFERROR(INDEX(CAPABILITIES!$E$7:$E$15,MATCH(PLAY!$F19,CAPABILITIES!$A$7:$A$15,0)),0)</f>
        <v>0</v>
      </c>
      <c r="Q19" s="13" t="n">
        <f aca="false">IFERROR(INDEX(CAPABILITIES!$F$7:$F$15,MATCH(PLAY!$F19,CAPABILITIES!$A$7:$A$15,0)),0)</f>
        <v>0</v>
      </c>
      <c r="R19" s="13" t="n">
        <f aca="false">IFERROR(INDEX(CAPABILITIES!$G$7:$G$15,MATCH(PLAY!$F19,CAPABILITIES!$A$7:$A$15,0)),0)</f>
        <v>0</v>
      </c>
      <c r="S19" s="13" t="n">
        <f aca="false">IFERROR(INDEX(CAPABILITIES!$H$7:$H$15,MATCH(PLAY!$F19,CAPABILITIES!$A$7:$A$15,0)),"")</f>
        <v>0</v>
      </c>
      <c r="T19" s="13" t="n">
        <f aca="false">IFERROR(INDEX(CAPABILITIES!$D$7:$D$15,MATCH(PLAY!$F19,CAPABILITIES!$A$7:$A$15,0))*INDEX(CAPABILITIES!$I$7:$I$15,MATCH(PLAY!$F19,CAPABILITIES!$A$7:$A$15,0)),0)</f>
        <v>0</v>
      </c>
      <c r="U19" s="13" t="n">
        <f aca="false">IFERROR(INDEX(CAPABILITIES!$E$7:$E$15,MATCH(PLAY!$F19,CAPABILITIES!$A$7:$A$15,0))+INDEX(CAPABILITIES!$J$7:$J$15,MATCH(PLAY!$F19,CAPABILITIES!$A$7:$A$15,0)),0)</f>
        <v>0</v>
      </c>
      <c r="V19" s="13" t="n">
        <f aca="false">IFERROR(INDEX(CAPABILITIES!$L$7:$L$15,MATCH(PLAY!$F19,CAPABILITIES!$A$7:$A$15,0)),0)</f>
        <v>0</v>
      </c>
      <c r="W19" s="28" t="n">
        <f aca="false">CLIMATE!D19+SUMPRODUCT(($D$8:$D$18="ENSO")*($F$8:$F$18+$A$8:$A$18=$A19)*$E$8:$E$18)+SUMPRODUCT(($I$8:$I$18="ENSO")*($K$8:$K$18+$A$8:$A$18=$A19)*$J$8:$J$18)+SUMPRODUCT(($N$8:$N$18="ENSO")*($P$8:$P$18+$A$8:$A$18=$A19)*$O$8:$O$18)+SUMPRODUCT(($S$8:$S$18="ENSO")*($U$8:$U$18+$A$8:$A$18=$A19)*$T$8:$T$18)</f>
        <v>-0.054</v>
      </c>
      <c r="X19" s="28" t="n">
        <f aca="false">CLIMATE!E19+SUMPRODUCT(($D$8:$D$18="IOD")*($F$8:$F$18+$A$8:$A$18=$A19)*$E$8:$E$18)+SUMPRODUCT(($I$8:$I$18="IOD")*($K$8:$K$18+$A$8:$A$18=$A19)*$J$8:$J$18)+SUMPRODUCT(($N$8:$N$18="IOD")*($P$8:$P$18+$A$8:$A$18=$A19)*$O$8:$O$18)+SUMPRODUCT(($S$8:$S$18="IOD")*($U$8:$U$18+$A$8:$A$18=$A19)*$T$8:$T$18)</f>
        <v>-0.885</v>
      </c>
      <c r="Y19" s="28" t="n">
        <f aca="false">CLIMATE!F19+SUMPRODUCT(($D$8:$D$18="NATL")*($F$8:$F$18+$A$8:$A$18=$A19)*$E$8:$E$18)+SUMPRODUCT(($I$8:$I$18="NATL")*($K$8:$K$18+$A$8:$A$18=$A19)*$J$8:$J$18)+SUMPRODUCT(($N$8:$N$18="NATL")*($P$8:$P$18+$A$8:$A$18=$A19)*$O$8:$O$18)+SUMPRODUCT(($S$8:$S$18="NATL")*($U$8:$U$18+$A$8:$A$18=$A19)*$T$8:$T$18)</f>
        <v>0.401</v>
      </c>
      <c r="Z19" s="28" t="n">
        <f aca="false">CLIMATE!G19+SUMPRODUCT(($D$8:$D$18="GLOBAL")*($F$8:$F$18+$A$8:$A$18=$A19)*$E$8:$E$18)+SUMPRODUCT(($I$8:$I$18="GLOBAL")*($K$8:$K$18+$A$8:$A$18=$A19)*$J$8:$J$18)+SUMPRODUCT(($N$8:$N$18="GLOBAL")*($P$8:$P$18+$A$8:$A$18=$A19)*$O$8:$O$18)+SUMPRODUCT(($S$8:$S$18="GLOBAL")*($U$8:$U$18+$A$8:$A$18=$A19)*$T$8:$T$18)</f>
        <v>0</v>
      </c>
      <c r="AA19" s="28" t="n">
        <f aca="false">CLIMATE!H19+IFERROR(INDEX($W$8:$W$47,$A19-GRAPH!B17),0)*GRAPH!B9+IFERROR(INDEX($X$8:$X$47,$A19-GRAPH!B18),0)*GRAPH!B10+IFERROR(INDEX($Y$8:$Y$47,$A19-GRAPH!B19),0)*GRAPH!B11+IFERROR(INDEX($Z$8:$Z$47,$A19-GRAPH!B20),0)*GRAPH!B12+SUMPRODUCT(($D$8:$D$18=REGIONS!$B$7)*($F$8:$F$18+$A$8:$A$18=$A19)*$E$8:$E$18)+SUMPRODUCT(($N$8:$N$18=REGIONS!$B$7)*($P$8:$P$18+$A$8:$A$18=$A19)*$O$8:$O$18)</f>
        <v>-0.2675</v>
      </c>
      <c r="AB19" s="28" t="n">
        <f aca="false">CLIMATE!I19+IFERROR(INDEX($W$8:$W$47,$A19-GRAPH!C17),0)*GRAPH!C9+IFERROR(INDEX($X$8:$X$47,$A19-GRAPH!C18),0)*GRAPH!C10+IFERROR(INDEX($Y$8:$Y$47,$A19-GRAPH!C19),0)*GRAPH!C11+IFERROR(INDEX($Z$8:$Z$47,$A19-GRAPH!C20),0)*GRAPH!C12+SUMPRODUCT(($D$8:$D$18=REGIONS!$B$8)*($F$8:$F$18+$A$8:$A$18=$A19)*$E$8:$E$18)+SUMPRODUCT(($N$8:$N$18=REGIONS!$B$8)*($P$8:$P$18+$A$8:$A$18=$A19)*$O$8:$O$18)</f>
        <v>0.0572</v>
      </c>
      <c r="AC19" s="28" t="n">
        <f aca="false">CLIMATE!J19+IFERROR(INDEX($W$8:$W$47,$A19-GRAPH!D17),0)*GRAPH!D9+IFERROR(INDEX($X$8:$X$47,$A19-GRAPH!D18),0)*GRAPH!D10+IFERROR(INDEX($Y$8:$Y$47,$A19-GRAPH!D19),0)*GRAPH!D11+IFERROR(INDEX($Z$8:$Z$47,$A19-GRAPH!D20),0)*GRAPH!D12+SUMPRODUCT(($D$8:$D$18=REGIONS!$B$9)*($F$8:$F$18+$A$8:$A$18=$A19)*$E$8:$E$18)+SUMPRODUCT(($N$8:$N$18=REGIONS!$B$9)*($P$8:$P$18+$A$8:$A$18=$A19)*$O$8:$O$18)</f>
        <v>-0.2415</v>
      </c>
      <c r="AD19" s="28" t="n">
        <f aca="false">CLIMATE!K19+IFERROR(INDEX($W$8:$W$47,$A19-GRAPH!E17),0)*GRAPH!E9+IFERROR(INDEX($X$8:$X$47,$A19-GRAPH!E18),0)*GRAPH!E10+IFERROR(INDEX($Y$8:$Y$47,$A19-GRAPH!E19),0)*GRAPH!E11+IFERROR(INDEX($Z$8:$Z$47,$A19-GRAPH!E20),0)*GRAPH!E12+SUMPRODUCT(($D$8:$D$18=REGIONS!$B$10)*($F$8:$F$18+$A$8:$A$18=$A19)*$E$8:$E$18)+SUMPRODUCT(($N$8:$N$18=REGIONS!$B$10)*($P$8:$P$18+$A$8:$A$18=$A19)*$O$8:$O$18)</f>
        <v>0.4444</v>
      </c>
      <c r="AE19" s="28" t="n">
        <f aca="false">CLIMATE!L19+IFERROR(INDEX($W$8:$W$47,$A19-GRAPH!F17),0)*GRAPH!F9+IFERROR(INDEX($X$8:$X$47,$A19-GRAPH!F18),0)*GRAPH!F10+IFERROR(INDEX($Y$8:$Y$47,$A19-GRAPH!F19),0)*GRAPH!F11+IFERROR(INDEX($Z$8:$Z$47,$A19-GRAPH!F20),0)*GRAPH!F12+SUMPRODUCT(($D$8:$D$18=REGIONS!$B$11)*($F$8:$F$18+$A$8:$A$18=$A19)*$E$8:$E$18)+SUMPRODUCT(($N$8:$N$18=REGIONS!$B$11)*($P$8:$P$18+$A$8:$A$18=$A19)*$O$8:$O$18)</f>
        <v>0.3344</v>
      </c>
      <c r="AF19" s="28" t="n">
        <f aca="false">CLIMATE!M19+IFERROR(INDEX($W$8:$W$47,$A19-GRAPH!G17),0)*GRAPH!G9+IFERROR(INDEX($X$8:$X$47,$A19-GRAPH!G18),0)*GRAPH!G10+IFERROR(INDEX($Y$8:$Y$47,$A19-GRAPH!G19),0)*GRAPH!G11+IFERROR(INDEX($Z$8:$Z$47,$A19-GRAPH!G20),0)*GRAPH!G12+SUMPRODUCT(($D$8:$D$18=REGIONS!$B$12)*($F$8:$F$18+$A$8:$A$18=$A19)*$E$8:$E$18)+SUMPRODUCT(($N$8:$N$18=REGIONS!$B$12)*($P$8:$P$18+$A$8:$A$18=$A19)*$O$8:$O$18)</f>
        <v>0.7718</v>
      </c>
      <c r="AG19" s="28" t="n">
        <f aca="false">CLIMATE!N19+IFERROR(INDEX($W$8:$W$47,$A19-GRAPH!H17),0)*GRAPH!H9+IFERROR(INDEX($X$8:$X$47,$A19-GRAPH!H18),0)*GRAPH!H10+IFERROR(INDEX($Y$8:$Y$47,$A19-GRAPH!H19),0)*GRAPH!H11+IFERROR(INDEX($Z$8:$Z$47,$A19-GRAPH!H20),0)*GRAPH!H12+SUMPRODUCT(($D$8:$D$18=REGIONS!$B$13)*($F$8:$F$18+$A$8:$A$18=$A19)*$E$8:$E$18)+SUMPRODUCT(($N$8:$N$18=REGIONS!$B$13)*($P$8:$P$18+$A$8:$A$18=$A19)*$O$8:$O$18)</f>
        <v>0.7484</v>
      </c>
      <c r="AH19" s="28" t="n">
        <f aca="false">CLIMATE!O19+IFERROR(INDEX($W$8:$W$47,$A19-GRAPH!I17),0)*GRAPH!I9+IFERROR(INDEX($X$8:$X$47,$A19-GRAPH!I18),0)*GRAPH!I10+IFERROR(INDEX($Y$8:$Y$47,$A19-GRAPH!I19),0)*GRAPH!I11+IFERROR(INDEX($Z$8:$Z$47,$A19-GRAPH!I20),0)*GRAPH!I12+SUMPRODUCT(($D$8:$D$18=REGIONS!$B$14)*($F$8:$F$18+$A$8:$A$18=$A19)*$E$8:$E$18)+SUMPRODUCT(($N$8:$N$18=REGIONS!$B$14)*($P$8:$P$18+$A$8:$A$18=$A19)*$O$8:$O$18)</f>
        <v>-0.2454</v>
      </c>
      <c r="AI19" s="28" t="n">
        <f aca="false">REGIONS!$F$7*(1+ASSUMPTIONS!$B$19*$A19)</f>
        <v>0.8576</v>
      </c>
      <c r="AJ19" s="28" t="n">
        <f aca="false">REGIONS!$F$8*(1+ASSUMPTIONS!$B$19*$A19)</f>
        <v>0.9648</v>
      </c>
      <c r="AK19" s="28" t="n">
        <f aca="false">REGIONS!$F$9*(1+ASSUMPTIONS!$B$19*$A19)</f>
        <v>0.9648</v>
      </c>
      <c r="AL19" s="28" t="n">
        <f aca="false">REGIONS!$F$10*(1+ASSUMPTIONS!$B$19*$A19)</f>
        <v>0.7504</v>
      </c>
      <c r="AM19" s="28" t="n">
        <f aca="false">REGIONS!$F$11*(1+ASSUMPTIONS!$B$19*$A19)</f>
        <v>0.7504</v>
      </c>
      <c r="AN19" s="28" t="n">
        <f aca="false">REGIONS!$F$12*(1+ASSUMPTIONS!$B$19*$A19)</f>
        <v>1.1792</v>
      </c>
      <c r="AO19" s="28" t="n">
        <f aca="false">REGIONS!$F$13*(1+ASSUMPTIONS!$B$19*$A19)</f>
        <v>1.2864</v>
      </c>
      <c r="AP19" s="28" t="n">
        <f aca="false">REGIONS!$F$14*(1+ASSUMPTIONS!$B$19*$A19)</f>
        <v>1.2864</v>
      </c>
      <c r="AQ19" s="11" t="n">
        <f aca="false">SUMPRODUCT(($D$8:$D$47=REGIONS!$B$7)*($A$8:$A$47&lt;=$A19)*$L$8:$L$47)+SUMPRODUCT(($N$8:$N$47=REGIONS!$B$7)*($A$8:$A$47&lt;=$A19)*$V$8:$V$47)</f>
        <v>0</v>
      </c>
      <c r="AR19" s="11" t="n">
        <f aca="false">SUMPRODUCT(($D$8:$D$47=REGIONS!$B$8)*($A$8:$A$47&lt;=$A19)*$L$8:$L$47)+SUMPRODUCT(($N$8:$N$47=REGIONS!$B$8)*($A$8:$A$47&lt;=$A19)*$V$8:$V$47)</f>
        <v>0</v>
      </c>
      <c r="AS19" s="11" t="n">
        <f aca="false">SUMPRODUCT(($D$8:$D$47=REGIONS!$B$9)*($A$8:$A$47&lt;=$A19)*$L$8:$L$47)+SUMPRODUCT(($N$8:$N$47=REGIONS!$B$9)*($A$8:$A$47&lt;=$A19)*$V$8:$V$47)</f>
        <v>0</v>
      </c>
      <c r="AT19" s="11" t="n">
        <f aca="false">SUMPRODUCT(($D$8:$D$47=REGIONS!$B$10)*($A$8:$A$47&lt;=$A19)*$L$8:$L$47)+SUMPRODUCT(($N$8:$N$47=REGIONS!$B$10)*($A$8:$A$47&lt;=$A19)*$V$8:$V$47)</f>
        <v>0</v>
      </c>
      <c r="AU19" s="11" t="n">
        <f aca="false">SUMPRODUCT(($D$8:$D$47=REGIONS!$B$11)*($A$8:$A$47&lt;=$A19)*$L$8:$L$47)+SUMPRODUCT(($N$8:$N$47=REGIONS!$B$11)*($A$8:$A$47&lt;=$A19)*$V$8:$V$47)</f>
        <v>0</v>
      </c>
      <c r="AV19" s="11" t="n">
        <f aca="false">SUMPRODUCT(($D$8:$D$47=REGIONS!$B$12)*($A$8:$A$47&lt;=$A19)*$L$8:$L$47)+SUMPRODUCT(($N$8:$N$47=REGIONS!$B$12)*($A$8:$A$47&lt;=$A19)*$V$8:$V$47)</f>
        <v>0</v>
      </c>
      <c r="AW19" s="11" t="n">
        <f aca="false">SUMPRODUCT(($D$8:$D$47=REGIONS!$B$13)*($A$8:$A$47&lt;=$A19)*$L$8:$L$47)+SUMPRODUCT(($N$8:$N$47=REGIONS!$B$13)*($A$8:$A$47&lt;=$A19)*$V$8:$V$47)</f>
        <v>0</v>
      </c>
      <c r="AX19" s="11" t="n">
        <f aca="false">SUMPRODUCT(($D$8:$D$47=REGIONS!$B$14)*($A$8:$A$47&lt;=$A19)*$L$8:$L$47)+SUMPRODUCT(($N$8:$N$47=REGIONS!$B$14)*($A$8:$A$47&lt;=$A19)*$V$8:$V$47)</f>
        <v>0</v>
      </c>
      <c r="AY19" s="12" t="n">
        <f aca="false">MAX(0,MIN(135,100-(MAX(0,-$AA19)*REGIONS!$E$7*ASSUMPTIONS!$B$7+MAX(0,$AA19-ASSUMPTIONS!$B$9)*REGIONS!$E$7*ASSUMPTIONS!$B$8)*(1-$AQ19/100)))</f>
        <v>96.255</v>
      </c>
      <c r="AZ19" s="12" t="n">
        <f aca="false">MAX(0,MIN(135,100-(MAX(0,-$AB19)*REGIONS!$E$8*ASSUMPTIONS!$B$7+MAX(0,$AB19-ASSUMPTIONS!$B$9)*REGIONS!$E$8*ASSUMPTIONS!$B$8)*(1-$AR19/100)))</f>
        <v>100</v>
      </c>
      <c r="BA19" s="12" t="n">
        <f aca="false">MAX(0,MIN(135,100-(MAX(0,-$AC19)*REGIONS!$E$9*ASSUMPTIONS!$B$7+MAX(0,$AC19-ASSUMPTIONS!$B$9)*REGIONS!$E$9*ASSUMPTIONS!$B$8)*(1-$AS19/100)))</f>
        <v>96.619</v>
      </c>
      <c r="BB19" s="12" t="n">
        <f aca="false">MAX(0,MIN(135,100-(MAX(0,-$AD19)*REGIONS!$E$10*ASSUMPTIONS!$B$7+MAX(0,$AD19-ASSUMPTIONS!$B$9)*REGIONS!$E$10*ASSUMPTIONS!$B$8)*(1-$AT19/100)))</f>
        <v>100</v>
      </c>
      <c r="BC19" s="12" t="n">
        <f aca="false">MAX(0,MIN(135,100-(MAX(0,-$AE19)*REGIONS!$E$11*ASSUMPTIONS!$B$7+MAX(0,$AE19-ASSUMPTIONS!$B$9)*REGIONS!$E$11*ASSUMPTIONS!$B$8)*(1-$AU19/100)))</f>
        <v>100</v>
      </c>
      <c r="BD19" s="12" t="n">
        <f aca="false">MAX(0,MIN(135,100-(MAX(0,-$AF19)*REGIONS!$E$12*ASSUMPTIONS!$B$7+MAX(0,$AF19-ASSUMPTIONS!$B$9)*REGIONS!$E$12*ASSUMPTIONS!$B$8)*(1-$AV19/100)))</f>
        <v>100</v>
      </c>
      <c r="BE19" s="12" t="n">
        <f aca="false">MAX(0,MIN(135,100-(MAX(0,-$AG19)*REGIONS!$E$13*ASSUMPTIONS!$B$7+MAX(0,$AG19-ASSUMPTIONS!$B$9)*REGIONS!$E$13*ASSUMPTIONS!$B$8)*(1-$AW19/100)))</f>
        <v>100</v>
      </c>
      <c r="BF19" s="12" t="n">
        <f aca="false">MAX(0,MIN(135,100-(MAX(0,-$AH19)*REGIONS!$E$14*ASSUMPTIONS!$B$7+MAX(0,$AH19-ASSUMPTIONS!$B$9)*REGIONS!$E$14*ASSUMPTIONS!$B$8)*(1-$AX19/100)))</f>
        <v>95.19016</v>
      </c>
      <c r="BG19" s="12" t="n">
        <f aca="false">$AY19*REGIONS!$D$7/100+$AZ19*REGIONS!$D$8/100+$BA19*REGIONS!$D$9/100+$BB19*REGIONS!$D$10/100+$BC19*REGIONS!$D$11/100+$BD19*REGIONS!$D$12/100+$BE19*REGIONS!$D$13/100+$BF19*REGIONS!$D$14/100</f>
        <v>98.4552596</v>
      </c>
      <c r="BH19" s="12" t="n">
        <f aca="false">100*(100/MAX(1,$BG19))^ASSUMPTIONS!$B$10</f>
        <v>102.841864346976</v>
      </c>
      <c r="BI19" s="12" t="n">
        <f aca="false">$AY19*$BH19/100*ASSUMPTIONS!$B$11</f>
        <v>84.1418710481042</v>
      </c>
      <c r="BJ19" s="28" t="n">
        <f aca="false">MAX(0,ABS($AA19)-$AI19*ASSUMPTIONS!$B$24)*REGIONS!$D$7/100+MAX(0,ABS($AB19)-$AJ19*ASSUMPTIONS!$B$24)*REGIONS!$D$8/100+MAX(0,ABS($AC19)-$AK19*ASSUMPTIONS!$B$24)*REGIONS!$D$9/100+MAX(0,ABS($AD19)-$AL19*ASSUMPTIONS!$B$24)*REGIONS!$D$10/100+MAX(0,ABS($AE19)-$AM19*ASSUMPTIONS!$B$24)*REGIONS!$D$11/100+MAX(0,ABS($AF19)-$AN19*ASSUMPTIONS!$B$24)*REGIONS!$D$12/100+MAX(0,ABS($AG19)-$AO19*ASSUMPTIONS!$B$24)*REGIONS!$D$13/100+MAX(0,ABS($AH19)-$AP19*ASSUMPTIONS!$B$24)*REGIONS!$D$14/100</f>
        <v>0</v>
      </c>
      <c r="BK19" s="12" t="n">
        <f aca="false">MIN(ASSUMPTIONS!$B$14,ASSUMPTIONS!$B$12+$BJ19*ASSUMPTIONS!$B$13)</f>
        <v>28</v>
      </c>
      <c r="BL19" s="11" t="n">
        <f aca="false">$H19+$R19</f>
        <v>0</v>
      </c>
      <c r="BM19" s="11" t="n">
        <f aca="false">PLAY!$H19</f>
        <v>0</v>
      </c>
      <c r="BN19" s="12" t="n">
        <f aca="false">$BI19*ASSUMPTIONS!$B$15+$BK19*ASSUMPTIONS!$B$16</f>
        <v>35.2970245257725</v>
      </c>
      <c r="BO19" s="12" t="n">
        <f aca="false">$BO18+$BN19-$BL19-$BM19-ASSUMPTIONS!$B$23</f>
        <v>159.304887403701</v>
      </c>
      <c r="BP19" s="12" t="n">
        <f aca="false">(SUMPRODUCT(($F$8:$F$18+$A$8:$A$18=$A19)*($C$8:$C$18&lt;&gt;"NONE")*$G$8:$G$18)+SUMPRODUCT(($P$8:$P$18+$A$8:$A$18=$A19)*($M$8:$M$18&lt;&gt;"NONE")*$Q$8:$Q$18))*(1+ASSUMPTIONS!$B$22*(MAX(0,ABS($AA19)/$AI19-1)+MAX(0,ABS($AB19)/$AJ19-1)+MAX(0,ABS($AC19)/$AK19-1)+MAX(0,ABS($AD19)/$AL19-1)+MAX(0,ABS($AE19)/$AM19-1)+MAX(0,ABS($AF19)/$AN19-1)+MAX(0,ABS($AG19)/$AO19-1)+MAX(0,ABS($AH19)/$AP19-1))/8)</f>
        <v>0</v>
      </c>
      <c r="BQ19" s="12" t="n">
        <f aca="false">MAX(0,$BQ18*(1-ASSUMPTIONS!$B$18)+$BP19-$BM19*ASSUMPTIONS!$B$17)</f>
        <v>1.40414568396779</v>
      </c>
    </row>
    <row r="20" customFormat="false" ht="15" hidden="false" customHeight="false" outlineLevel="0" collapsed="false">
      <c r="A20" s="13" t="n">
        <v>13</v>
      </c>
      <c r="B20" s="11" t="n">
        <f aca="false">CLIMATE!B20</f>
        <v>1949</v>
      </c>
      <c r="C20" s="13" t="str">
        <f aca="false">IFERROR(INDEX(CAPABILITIES!$B$7:$B$15,MATCH(PLAY!$D20,CAPABILITIES!$A$7:$A$15,0)),"NONE")</f>
        <v>NONE</v>
      </c>
      <c r="D20" s="13" t="n">
        <f aca="false">IFERROR(IF(INDEX(CAPABILITIES!$B$7:$B$15,MATCH(PLAY!$D20,CAPABILITIES!$A$7:$A$15,0))="DRIVER",INDEX(CAPABILITIES!$C$7:$C$15,MATCH(PLAY!$D20,CAPABILITIES!$A$7:$A$15,0)),PLAY!$E20),"")</f>
        <v>0</v>
      </c>
      <c r="E20" s="13" t="n">
        <f aca="false">IFERROR(INDEX(CAPABILITIES!$D$7:$D$15,MATCH(PLAY!$D20,CAPABILITIES!$A$7:$A$15,0))*IF(INDEX(CAPABILITIES!$K$7:$K$15,MATCH(PLAY!$D20,CAPABILITIES!$A$7:$A$15,0))="Y",IF(IFERROR(INDEX($AA19:$AH19,MATCH(PLAY!$E20,REGIONS!$B$7:$B$14,0)),0)&lt;ASSUMPTIONS!$B$20,1,ASSUMPTIONS!$B$21),1),0)</f>
        <v>0</v>
      </c>
      <c r="F20" s="13" t="n">
        <f aca="false">IFERROR(INDEX(CAPABILITIES!$E$7:$E$15,MATCH(PLAY!$D20,CAPABILITIES!$A$7:$A$15,0)),0)</f>
        <v>0</v>
      </c>
      <c r="G20" s="13" t="n">
        <f aca="false">IFERROR(INDEX(CAPABILITIES!$F$7:$F$15,MATCH(PLAY!$D20,CAPABILITIES!$A$7:$A$15,0)),0)</f>
        <v>0</v>
      </c>
      <c r="H20" s="13" t="n">
        <f aca="false">IFERROR(INDEX(CAPABILITIES!$G$7:$G$15,MATCH(PLAY!$D20,CAPABILITIES!$A$7:$A$15,0)),0)</f>
        <v>0</v>
      </c>
      <c r="I20" s="13" t="n">
        <f aca="false">IFERROR(INDEX(CAPABILITIES!$H$7:$H$15,MATCH(PLAY!$D20,CAPABILITIES!$A$7:$A$15,0)),"")</f>
        <v>0</v>
      </c>
      <c r="J20" s="13" t="n">
        <f aca="false">IFERROR(INDEX(CAPABILITIES!$D$7:$D$15,MATCH(PLAY!$D20,CAPABILITIES!$A$7:$A$15,0))*INDEX(CAPABILITIES!$I$7:$I$15,MATCH(PLAY!$D20,CAPABILITIES!$A$7:$A$15,0)),0)</f>
        <v>0</v>
      </c>
      <c r="K20" s="13" t="n">
        <f aca="false">IFERROR(INDEX(CAPABILITIES!$E$7:$E$15,MATCH(PLAY!$D20,CAPABILITIES!$A$7:$A$15,0))+INDEX(CAPABILITIES!$J$7:$J$15,MATCH(PLAY!$D20,CAPABILITIES!$A$7:$A$15,0)),0)</f>
        <v>0</v>
      </c>
      <c r="L20" s="13" t="n">
        <f aca="false">IFERROR(INDEX(CAPABILITIES!$L$7:$L$15,MATCH(PLAY!$D20,CAPABILITIES!$A$7:$A$15,0)),0)</f>
        <v>0</v>
      </c>
      <c r="M20" s="13" t="str">
        <f aca="false">IFERROR(INDEX(CAPABILITIES!$B$7:$B$15,MATCH(PLAY!$F20,CAPABILITIES!$A$7:$A$15,0)),"NONE")</f>
        <v>NONE</v>
      </c>
      <c r="N20" s="13" t="n">
        <f aca="false">IFERROR(IF(INDEX(CAPABILITIES!$B$7:$B$15,MATCH(PLAY!$F20,CAPABILITIES!$A$7:$A$15,0))="DRIVER",INDEX(CAPABILITIES!$C$7:$C$15,MATCH(PLAY!$F20,CAPABILITIES!$A$7:$A$15,0)),PLAY!$G20),"")</f>
        <v>0</v>
      </c>
      <c r="O20" s="13" t="n">
        <f aca="false">IFERROR(INDEX(CAPABILITIES!$D$7:$D$15,MATCH(PLAY!$F20,CAPABILITIES!$A$7:$A$15,0))*IF(INDEX(CAPABILITIES!$K$7:$K$15,MATCH(PLAY!$F20,CAPABILITIES!$A$7:$A$15,0))="Y",IF(IFERROR(INDEX($AA19:$AH19,MATCH(PLAY!$G20,REGIONS!$B$7:$B$14,0)),0)&lt;ASSUMPTIONS!$B$20,1,ASSUMPTIONS!$B$21),1),0)</f>
        <v>0</v>
      </c>
      <c r="P20" s="13" t="n">
        <f aca="false">IFERROR(INDEX(CAPABILITIES!$E$7:$E$15,MATCH(PLAY!$F20,CAPABILITIES!$A$7:$A$15,0)),0)</f>
        <v>0</v>
      </c>
      <c r="Q20" s="13" t="n">
        <f aca="false">IFERROR(INDEX(CAPABILITIES!$F$7:$F$15,MATCH(PLAY!$F20,CAPABILITIES!$A$7:$A$15,0)),0)</f>
        <v>0</v>
      </c>
      <c r="R20" s="13" t="n">
        <f aca="false">IFERROR(INDEX(CAPABILITIES!$G$7:$G$15,MATCH(PLAY!$F20,CAPABILITIES!$A$7:$A$15,0)),0)</f>
        <v>0</v>
      </c>
      <c r="S20" s="13" t="n">
        <f aca="false">IFERROR(INDEX(CAPABILITIES!$H$7:$H$15,MATCH(PLAY!$F20,CAPABILITIES!$A$7:$A$15,0)),"")</f>
        <v>0</v>
      </c>
      <c r="T20" s="13" t="n">
        <f aca="false">IFERROR(INDEX(CAPABILITIES!$D$7:$D$15,MATCH(PLAY!$F20,CAPABILITIES!$A$7:$A$15,0))*INDEX(CAPABILITIES!$I$7:$I$15,MATCH(PLAY!$F20,CAPABILITIES!$A$7:$A$15,0)),0)</f>
        <v>0</v>
      </c>
      <c r="U20" s="13" t="n">
        <f aca="false">IFERROR(INDEX(CAPABILITIES!$E$7:$E$15,MATCH(PLAY!$F20,CAPABILITIES!$A$7:$A$15,0))+INDEX(CAPABILITIES!$J$7:$J$15,MATCH(PLAY!$F20,CAPABILITIES!$A$7:$A$15,0)),0)</f>
        <v>0</v>
      </c>
      <c r="V20" s="13" t="n">
        <f aca="false">IFERROR(INDEX(CAPABILITIES!$L$7:$L$15,MATCH(PLAY!$F20,CAPABILITIES!$A$7:$A$15,0)),0)</f>
        <v>0</v>
      </c>
      <c r="W20" s="28" t="n">
        <f aca="false">CLIMATE!D20+SUMPRODUCT(($D$8:$D$19="ENSO")*($F$8:$F$19+$A$8:$A$19=$A20)*$E$8:$E$19)+SUMPRODUCT(($I$8:$I$19="ENSO")*($K$8:$K$19+$A$8:$A$19=$A20)*$J$8:$J$19)+SUMPRODUCT(($N$8:$N$19="ENSO")*($P$8:$P$19+$A$8:$A$19=$A20)*$O$8:$O$19)+SUMPRODUCT(($S$8:$S$19="ENSO")*($U$8:$U$19+$A$8:$A$19=$A20)*$T$8:$T$19)</f>
        <v>-0.062</v>
      </c>
      <c r="X20" s="28" t="n">
        <f aca="false">CLIMATE!E20+SUMPRODUCT(($D$8:$D$19="IOD")*($F$8:$F$19+$A$8:$A$19=$A20)*$E$8:$E$19)+SUMPRODUCT(($I$8:$I$19="IOD")*($K$8:$K$19+$A$8:$A$19=$A20)*$J$8:$J$19)+SUMPRODUCT(($N$8:$N$19="IOD")*($P$8:$P$19+$A$8:$A$19=$A20)*$O$8:$O$19)+SUMPRODUCT(($S$8:$S$19="IOD")*($U$8:$U$19+$A$8:$A$19=$A20)*$T$8:$T$19)</f>
        <v>-0.86</v>
      </c>
      <c r="Y20" s="28" t="n">
        <f aca="false">CLIMATE!F20+SUMPRODUCT(($D$8:$D$19="NATL")*($F$8:$F$19+$A$8:$A$19=$A20)*$E$8:$E$19)+SUMPRODUCT(($I$8:$I$19="NATL")*($K$8:$K$19+$A$8:$A$19=$A20)*$J$8:$J$19)+SUMPRODUCT(($N$8:$N$19="NATL")*($P$8:$P$19+$A$8:$A$19=$A20)*$O$8:$O$19)+SUMPRODUCT(($S$8:$S$19="NATL")*($U$8:$U$19+$A$8:$A$19=$A20)*$T$8:$T$19)</f>
        <v>0.1</v>
      </c>
      <c r="Z20" s="28" t="n">
        <f aca="false">CLIMATE!G20+SUMPRODUCT(($D$8:$D$19="GLOBAL")*($F$8:$F$19+$A$8:$A$19=$A20)*$E$8:$E$19)+SUMPRODUCT(($I$8:$I$19="GLOBAL")*($K$8:$K$19+$A$8:$A$19=$A20)*$J$8:$J$19)+SUMPRODUCT(($N$8:$N$19="GLOBAL")*($P$8:$P$19+$A$8:$A$19=$A20)*$O$8:$O$19)+SUMPRODUCT(($S$8:$S$19="GLOBAL")*($U$8:$U$19+$A$8:$A$19=$A20)*$T$8:$T$19)</f>
        <v>0</v>
      </c>
      <c r="AA20" s="28" t="n">
        <f aca="false">CLIMATE!H20+IFERROR(INDEX($W$8:$W$47,$A20-GRAPH!B17),0)*GRAPH!B9+IFERROR(INDEX($X$8:$X$47,$A20-GRAPH!B18),0)*GRAPH!B10+IFERROR(INDEX($Y$8:$Y$47,$A20-GRAPH!B19),0)*GRAPH!B11+IFERROR(INDEX($Z$8:$Z$47,$A20-GRAPH!B20),0)*GRAPH!B12+SUMPRODUCT(($D$8:$D$19=REGIONS!$B$7)*($F$8:$F$19+$A$8:$A$19=$A20)*$E$8:$E$19)+SUMPRODUCT(($N$8:$N$19=REGIONS!$B$7)*($P$8:$P$19+$A$8:$A$19=$A20)*$O$8:$O$19)</f>
        <v>-0.361</v>
      </c>
      <c r="AB20" s="28" t="n">
        <f aca="false">CLIMATE!I20+IFERROR(INDEX($W$8:$W$47,$A20-GRAPH!C17),0)*GRAPH!C9+IFERROR(INDEX($X$8:$X$47,$A20-GRAPH!C18),0)*GRAPH!C10+IFERROR(INDEX($Y$8:$Y$47,$A20-GRAPH!C19),0)*GRAPH!C11+IFERROR(INDEX($Z$8:$Z$47,$A20-GRAPH!C20),0)*GRAPH!C12+SUMPRODUCT(($D$8:$D$19=REGIONS!$B$8)*($F$8:$F$19+$A$8:$A$19=$A20)*$E$8:$E$19)+SUMPRODUCT(($N$8:$N$19=REGIONS!$B$8)*($P$8:$P$19+$A$8:$A$19=$A20)*$O$8:$O$19)</f>
        <v>-0.1077</v>
      </c>
      <c r="AC20" s="28" t="n">
        <f aca="false">CLIMATE!J20+IFERROR(INDEX($W$8:$W$47,$A20-GRAPH!D17),0)*GRAPH!D9+IFERROR(INDEX($X$8:$X$47,$A20-GRAPH!D18),0)*GRAPH!D10+IFERROR(INDEX($Y$8:$Y$47,$A20-GRAPH!D19),0)*GRAPH!D11+IFERROR(INDEX($Z$8:$Z$47,$A20-GRAPH!D20),0)*GRAPH!D12+SUMPRODUCT(($D$8:$D$19=REGIONS!$B$9)*($F$8:$F$19+$A$8:$A$19=$A20)*$E$8:$E$19)+SUMPRODUCT(($N$8:$N$19=REGIONS!$B$9)*($P$8:$P$19+$A$8:$A$19=$A20)*$O$8:$O$19)</f>
        <v>-0.421</v>
      </c>
      <c r="AD20" s="28" t="n">
        <f aca="false">CLIMATE!K20+IFERROR(INDEX($W$8:$W$47,$A20-GRAPH!E17),0)*GRAPH!E9+IFERROR(INDEX($X$8:$X$47,$A20-GRAPH!E18),0)*GRAPH!E10+IFERROR(INDEX($Y$8:$Y$47,$A20-GRAPH!E19),0)*GRAPH!E11+IFERROR(INDEX($Z$8:$Z$47,$A20-GRAPH!E20),0)*GRAPH!E12+SUMPRODUCT(($D$8:$D$19=REGIONS!$B$10)*($F$8:$F$19+$A$8:$A$19=$A20)*$E$8:$E$19)+SUMPRODUCT(($N$8:$N$19=REGIONS!$B$10)*($P$8:$P$19+$A$8:$A$19=$A20)*$O$8:$O$19)</f>
        <v>-0.3491</v>
      </c>
      <c r="AE20" s="28" t="n">
        <f aca="false">CLIMATE!L20+IFERROR(INDEX($W$8:$W$47,$A20-GRAPH!F17),0)*GRAPH!F9+IFERROR(INDEX($X$8:$X$47,$A20-GRAPH!F18),0)*GRAPH!F10+IFERROR(INDEX($Y$8:$Y$47,$A20-GRAPH!F19),0)*GRAPH!F11+IFERROR(INDEX($Z$8:$Z$47,$A20-GRAPH!F20),0)*GRAPH!F12+SUMPRODUCT(($D$8:$D$19=REGIONS!$B$11)*($F$8:$F$19+$A$8:$A$19=$A20)*$E$8:$E$19)+SUMPRODUCT(($N$8:$N$19=REGIONS!$B$11)*($P$8:$P$19+$A$8:$A$19=$A20)*$O$8:$O$19)</f>
        <v>0.4438</v>
      </c>
      <c r="AF20" s="28" t="n">
        <f aca="false">CLIMATE!M20+IFERROR(INDEX($W$8:$W$47,$A20-GRAPH!G17),0)*GRAPH!G9+IFERROR(INDEX($X$8:$X$47,$A20-GRAPH!G18),0)*GRAPH!G10+IFERROR(INDEX($Y$8:$Y$47,$A20-GRAPH!G19),0)*GRAPH!G11+IFERROR(INDEX($Z$8:$Z$47,$A20-GRAPH!G20),0)*GRAPH!G12+SUMPRODUCT(($D$8:$D$19=REGIONS!$B$12)*($F$8:$F$19+$A$8:$A$19=$A20)*$E$8:$E$19)+SUMPRODUCT(($N$8:$N$19=REGIONS!$B$12)*($P$8:$P$19+$A$8:$A$19=$A20)*$O$8:$O$19)</f>
        <v>0.7446</v>
      </c>
      <c r="AG20" s="28" t="n">
        <f aca="false">CLIMATE!N20+IFERROR(INDEX($W$8:$W$47,$A20-GRAPH!H17),0)*GRAPH!H9+IFERROR(INDEX($X$8:$X$47,$A20-GRAPH!H18),0)*GRAPH!H10+IFERROR(INDEX($Y$8:$Y$47,$A20-GRAPH!H19),0)*GRAPH!H11+IFERROR(INDEX($Z$8:$Z$47,$A20-GRAPH!H20),0)*GRAPH!H12+SUMPRODUCT(($D$8:$D$19=REGIONS!$B$13)*($F$8:$F$19+$A$8:$A$19=$A20)*$E$8:$E$19)+SUMPRODUCT(($N$8:$N$19=REGIONS!$B$13)*($P$8:$P$19+$A$8:$A$19=$A20)*$O$8:$O$19)</f>
        <v>0.612</v>
      </c>
      <c r="AH20" s="28" t="n">
        <f aca="false">CLIMATE!O20+IFERROR(INDEX($W$8:$W$47,$A20-GRAPH!I17),0)*GRAPH!I9+IFERROR(INDEX($X$8:$X$47,$A20-GRAPH!I18),0)*GRAPH!I10+IFERROR(INDEX($Y$8:$Y$47,$A20-GRAPH!I19),0)*GRAPH!I11+IFERROR(INDEX($Z$8:$Z$47,$A20-GRAPH!I20),0)*GRAPH!I12+SUMPRODUCT(($D$8:$D$19=REGIONS!$B$14)*($F$8:$F$19+$A$8:$A$19=$A20)*$E$8:$E$19)+SUMPRODUCT(($N$8:$N$19=REGIONS!$B$14)*($P$8:$P$19+$A$8:$A$19=$A20)*$O$8:$O$19)</f>
        <v>-0.9218</v>
      </c>
      <c r="AI20" s="28" t="n">
        <f aca="false">REGIONS!$F$7*(1+ASSUMPTIONS!$B$19*$A20)</f>
        <v>0.8624</v>
      </c>
      <c r="AJ20" s="28" t="n">
        <f aca="false">REGIONS!$F$8*(1+ASSUMPTIONS!$B$19*$A20)</f>
        <v>0.9702</v>
      </c>
      <c r="AK20" s="28" t="n">
        <f aca="false">REGIONS!$F$9*(1+ASSUMPTIONS!$B$19*$A20)</f>
        <v>0.9702</v>
      </c>
      <c r="AL20" s="28" t="n">
        <f aca="false">REGIONS!$F$10*(1+ASSUMPTIONS!$B$19*$A20)</f>
        <v>0.7546</v>
      </c>
      <c r="AM20" s="28" t="n">
        <f aca="false">REGIONS!$F$11*(1+ASSUMPTIONS!$B$19*$A20)</f>
        <v>0.7546</v>
      </c>
      <c r="AN20" s="28" t="n">
        <f aca="false">REGIONS!$F$12*(1+ASSUMPTIONS!$B$19*$A20)</f>
        <v>1.1858</v>
      </c>
      <c r="AO20" s="28" t="n">
        <f aca="false">REGIONS!$F$13*(1+ASSUMPTIONS!$B$19*$A20)</f>
        <v>1.2936</v>
      </c>
      <c r="AP20" s="28" t="n">
        <f aca="false">REGIONS!$F$14*(1+ASSUMPTIONS!$B$19*$A20)</f>
        <v>1.2936</v>
      </c>
      <c r="AQ20" s="11" t="n">
        <f aca="false">SUMPRODUCT(($D$8:$D$47=REGIONS!$B$7)*($A$8:$A$47&lt;=$A20)*$L$8:$L$47)+SUMPRODUCT(($N$8:$N$47=REGIONS!$B$7)*($A$8:$A$47&lt;=$A20)*$V$8:$V$47)</f>
        <v>0</v>
      </c>
      <c r="AR20" s="11" t="n">
        <f aca="false">SUMPRODUCT(($D$8:$D$47=REGIONS!$B$8)*($A$8:$A$47&lt;=$A20)*$L$8:$L$47)+SUMPRODUCT(($N$8:$N$47=REGIONS!$B$8)*($A$8:$A$47&lt;=$A20)*$V$8:$V$47)</f>
        <v>0</v>
      </c>
      <c r="AS20" s="11" t="n">
        <f aca="false">SUMPRODUCT(($D$8:$D$47=REGIONS!$B$9)*($A$8:$A$47&lt;=$A20)*$L$8:$L$47)+SUMPRODUCT(($N$8:$N$47=REGIONS!$B$9)*($A$8:$A$47&lt;=$A20)*$V$8:$V$47)</f>
        <v>0</v>
      </c>
      <c r="AT20" s="11" t="n">
        <f aca="false">SUMPRODUCT(($D$8:$D$47=REGIONS!$B$10)*($A$8:$A$47&lt;=$A20)*$L$8:$L$47)+SUMPRODUCT(($N$8:$N$47=REGIONS!$B$10)*($A$8:$A$47&lt;=$A20)*$V$8:$V$47)</f>
        <v>0</v>
      </c>
      <c r="AU20" s="11" t="n">
        <f aca="false">SUMPRODUCT(($D$8:$D$47=REGIONS!$B$11)*($A$8:$A$47&lt;=$A20)*$L$8:$L$47)+SUMPRODUCT(($N$8:$N$47=REGIONS!$B$11)*($A$8:$A$47&lt;=$A20)*$V$8:$V$47)</f>
        <v>0</v>
      </c>
      <c r="AV20" s="11" t="n">
        <f aca="false">SUMPRODUCT(($D$8:$D$47=REGIONS!$B$12)*($A$8:$A$47&lt;=$A20)*$L$8:$L$47)+SUMPRODUCT(($N$8:$N$47=REGIONS!$B$12)*($A$8:$A$47&lt;=$A20)*$V$8:$V$47)</f>
        <v>0</v>
      </c>
      <c r="AW20" s="11" t="n">
        <f aca="false">SUMPRODUCT(($D$8:$D$47=REGIONS!$B$13)*($A$8:$A$47&lt;=$A20)*$L$8:$L$47)+SUMPRODUCT(($N$8:$N$47=REGIONS!$B$13)*($A$8:$A$47&lt;=$A20)*$V$8:$V$47)</f>
        <v>0</v>
      </c>
      <c r="AX20" s="11" t="n">
        <f aca="false">SUMPRODUCT(($D$8:$D$47=REGIONS!$B$14)*($A$8:$A$47&lt;=$A20)*$L$8:$L$47)+SUMPRODUCT(($N$8:$N$47=REGIONS!$B$14)*($A$8:$A$47&lt;=$A20)*$V$8:$V$47)</f>
        <v>0</v>
      </c>
      <c r="AY20" s="12" t="n">
        <f aca="false">MAX(0,MIN(135,100-(MAX(0,-$AA20)*REGIONS!$E$7*ASSUMPTIONS!$B$7+MAX(0,$AA20-ASSUMPTIONS!$B$9)*REGIONS!$E$7*ASSUMPTIONS!$B$8)*(1-$AQ20/100)))</f>
        <v>94.946</v>
      </c>
      <c r="AZ20" s="12" t="n">
        <f aca="false">MAX(0,MIN(135,100-(MAX(0,-$AB20)*REGIONS!$E$8*ASSUMPTIONS!$B$7+MAX(0,$AB20-ASSUMPTIONS!$B$9)*REGIONS!$E$8*ASSUMPTIONS!$B$8)*(1-$AR20/100)))</f>
        <v>98.34142</v>
      </c>
      <c r="BA20" s="12" t="n">
        <f aca="false">MAX(0,MIN(135,100-(MAX(0,-$AC20)*REGIONS!$E$9*ASSUMPTIONS!$B$7+MAX(0,$AC20-ASSUMPTIONS!$B$9)*REGIONS!$E$9*ASSUMPTIONS!$B$8)*(1-$AS20/100)))</f>
        <v>94.106</v>
      </c>
      <c r="BB20" s="12" t="n">
        <f aca="false">MAX(0,MIN(135,100-(MAX(0,-$AD20)*REGIONS!$E$10*ASSUMPTIONS!$B$7+MAX(0,$AD20-ASSUMPTIONS!$B$9)*REGIONS!$E$10*ASSUMPTIONS!$B$8)*(1-$AT20/100)))</f>
        <v>94.13512</v>
      </c>
      <c r="BC20" s="12" t="n">
        <f aca="false">MAX(0,MIN(135,100-(MAX(0,-$AE20)*REGIONS!$E$11*ASSUMPTIONS!$B$7+MAX(0,$AE20-ASSUMPTIONS!$B$9)*REGIONS!$E$11*ASSUMPTIONS!$B$8)*(1-$AU20/100)))</f>
        <v>100</v>
      </c>
      <c r="BD20" s="12" t="n">
        <f aca="false">MAX(0,MIN(135,100-(MAX(0,-$AF20)*REGIONS!$E$12*ASSUMPTIONS!$B$7+MAX(0,$AF20-ASSUMPTIONS!$B$9)*REGIONS!$E$12*ASSUMPTIONS!$B$8)*(1-$AV20/100)))</f>
        <v>100</v>
      </c>
      <c r="BE20" s="12" t="n">
        <f aca="false">MAX(0,MIN(135,100-(MAX(0,-$AG20)*REGIONS!$E$13*ASSUMPTIONS!$B$7+MAX(0,$AG20-ASSUMPTIONS!$B$9)*REGIONS!$E$13*ASSUMPTIONS!$B$8)*(1-$AW20/100)))</f>
        <v>100</v>
      </c>
      <c r="BF20" s="12" t="n">
        <f aca="false">MAX(0,MIN(135,100-(MAX(0,-$AH20)*REGIONS!$E$14*ASSUMPTIONS!$B$7+MAX(0,$AH20-ASSUMPTIONS!$B$9)*REGIONS!$E$14*ASSUMPTIONS!$B$8)*(1-$AX20/100)))</f>
        <v>81.93272</v>
      </c>
      <c r="BG20" s="12" t="n">
        <f aca="false">$AY20*REGIONS!$D$7/100+$AZ20*REGIONS!$D$8/100+$BA20*REGIONS!$D$9/100+$BB20*REGIONS!$D$10/100+$BC20*REGIONS!$D$11/100+$BD20*REGIONS!$D$12/100+$BE20*REGIONS!$D$13/100+$BF20*REGIONS!$D$14/100</f>
        <v>95.700012</v>
      </c>
      <c r="BH20" s="12" t="n">
        <f aca="false">100*(100/MAX(1,$BG20))^ASSUMPTIONS!$B$10</f>
        <v>108.232680406313</v>
      </c>
      <c r="BI20" s="12" t="n">
        <f aca="false">$AY20*$BH20/100*ASSUMPTIONS!$B$11</f>
        <v>87.3482106277915</v>
      </c>
      <c r="BJ20" s="28" t="n">
        <f aca="false">MAX(0,ABS($AA20)-$AI20*ASSUMPTIONS!$B$24)*REGIONS!$D$7/100+MAX(0,ABS($AB20)-$AJ20*ASSUMPTIONS!$B$24)*REGIONS!$D$8/100+MAX(0,ABS($AC20)-$AK20*ASSUMPTIONS!$B$24)*REGIONS!$D$9/100+MAX(0,ABS($AD20)-$AL20*ASSUMPTIONS!$B$24)*REGIONS!$D$10/100+MAX(0,ABS($AE20)-$AM20*ASSUMPTIONS!$B$24)*REGIONS!$D$11/100+MAX(0,ABS($AF20)-$AN20*ASSUMPTIONS!$B$24)*REGIONS!$D$12/100+MAX(0,ABS($AG20)-$AO20*ASSUMPTIONS!$B$24)*REGIONS!$D$13/100+MAX(0,ABS($AH20)-$AP20*ASSUMPTIONS!$B$24)*REGIONS!$D$14/100</f>
        <v>0</v>
      </c>
      <c r="BK20" s="12" t="n">
        <f aca="false">MIN(ASSUMPTIONS!$B$14,ASSUMPTIONS!$B$12+$BJ20*ASSUMPTIONS!$B$13)</f>
        <v>28</v>
      </c>
      <c r="BL20" s="11" t="n">
        <f aca="false">$H20+$R20</f>
        <v>0</v>
      </c>
      <c r="BM20" s="11" t="n">
        <f aca="false">PLAY!$H20</f>
        <v>0</v>
      </c>
      <c r="BN20" s="12" t="n">
        <f aca="false">$BI20*ASSUMPTIONS!$B$15+$BK20*ASSUMPTIONS!$B$16</f>
        <v>35.681785275335</v>
      </c>
      <c r="BO20" s="12" t="n">
        <f aca="false">$BO19+$BN20-$BL20-$BM20-ASSUMPTIONS!$B$23</f>
        <v>162.986672679036</v>
      </c>
      <c r="BP20" s="12" t="n">
        <f aca="false">(SUMPRODUCT(($F$8:$F$19+$A$8:$A$19=$A20)*($C$8:$C$19&lt;&gt;"NONE")*$G$8:$G$19)+SUMPRODUCT(($P$8:$P$19+$A$8:$A$19=$A20)*($M$8:$M$19&lt;&gt;"NONE")*$Q$8:$Q$19))*(1+ASSUMPTIONS!$B$22*(MAX(0,ABS($AA20)/$AI20-1)+MAX(0,ABS($AB20)/$AJ20-1)+MAX(0,ABS($AC20)/$AK20-1)+MAX(0,ABS($AD20)/$AL20-1)+MAX(0,ABS($AE20)/$AM20-1)+MAX(0,ABS($AF20)/$AN20-1)+MAX(0,ABS($AG20)/$AO20-1)+MAX(0,ABS($AH20)/$AP20-1))/8)</f>
        <v>0</v>
      </c>
      <c r="BQ20" s="12" t="n">
        <f aca="false">MAX(0,$BQ19*(1-ASSUMPTIONS!$B$18)+$BP20-$BM20*ASSUMPTIONS!$B$17)</f>
        <v>1.34797985660908</v>
      </c>
    </row>
    <row r="21" customFormat="false" ht="15" hidden="false" customHeight="false" outlineLevel="0" collapsed="false">
      <c r="A21" s="13" t="n">
        <v>14</v>
      </c>
      <c r="B21" s="11" t="n">
        <f aca="false">CLIMATE!B21</f>
        <v>1949</v>
      </c>
      <c r="C21" s="13" t="str">
        <f aca="false">IFERROR(INDEX(CAPABILITIES!$B$7:$B$15,MATCH(PLAY!$D21,CAPABILITIES!$A$7:$A$15,0)),"NONE")</f>
        <v>NONE</v>
      </c>
      <c r="D21" s="13" t="n">
        <f aca="false">IFERROR(IF(INDEX(CAPABILITIES!$B$7:$B$15,MATCH(PLAY!$D21,CAPABILITIES!$A$7:$A$15,0))="DRIVER",INDEX(CAPABILITIES!$C$7:$C$15,MATCH(PLAY!$D21,CAPABILITIES!$A$7:$A$15,0)),PLAY!$E21),"")</f>
        <v>0</v>
      </c>
      <c r="E21" s="13" t="n">
        <f aca="false">IFERROR(INDEX(CAPABILITIES!$D$7:$D$15,MATCH(PLAY!$D21,CAPABILITIES!$A$7:$A$15,0))*IF(INDEX(CAPABILITIES!$K$7:$K$15,MATCH(PLAY!$D21,CAPABILITIES!$A$7:$A$15,0))="Y",IF(IFERROR(INDEX($AA20:$AH20,MATCH(PLAY!$E21,REGIONS!$B$7:$B$14,0)),0)&lt;ASSUMPTIONS!$B$20,1,ASSUMPTIONS!$B$21),1),0)</f>
        <v>0</v>
      </c>
      <c r="F21" s="13" t="n">
        <f aca="false">IFERROR(INDEX(CAPABILITIES!$E$7:$E$15,MATCH(PLAY!$D21,CAPABILITIES!$A$7:$A$15,0)),0)</f>
        <v>0</v>
      </c>
      <c r="G21" s="13" t="n">
        <f aca="false">IFERROR(INDEX(CAPABILITIES!$F$7:$F$15,MATCH(PLAY!$D21,CAPABILITIES!$A$7:$A$15,0)),0)</f>
        <v>0</v>
      </c>
      <c r="H21" s="13" t="n">
        <f aca="false">IFERROR(INDEX(CAPABILITIES!$G$7:$G$15,MATCH(PLAY!$D21,CAPABILITIES!$A$7:$A$15,0)),0)</f>
        <v>0</v>
      </c>
      <c r="I21" s="13" t="n">
        <f aca="false">IFERROR(INDEX(CAPABILITIES!$H$7:$H$15,MATCH(PLAY!$D21,CAPABILITIES!$A$7:$A$15,0)),"")</f>
        <v>0</v>
      </c>
      <c r="J21" s="13" t="n">
        <f aca="false">IFERROR(INDEX(CAPABILITIES!$D$7:$D$15,MATCH(PLAY!$D21,CAPABILITIES!$A$7:$A$15,0))*INDEX(CAPABILITIES!$I$7:$I$15,MATCH(PLAY!$D21,CAPABILITIES!$A$7:$A$15,0)),0)</f>
        <v>0</v>
      </c>
      <c r="K21" s="13" t="n">
        <f aca="false">IFERROR(INDEX(CAPABILITIES!$E$7:$E$15,MATCH(PLAY!$D21,CAPABILITIES!$A$7:$A$15,0))+INDEX(CAPABILITIES!$J$7:$J$15,MATCH(PLAY!$D21,CAPABILITIES!$A$7:$A$15,0)),0)</f>
        <v>0</v>
      </c>
      <c r="L21" s="13" t="n">
        <f aca="false">IFERROR(INDEX(CAPABILITIES!$L$7:$L$15,MATCH(PLAY!$D21,CAPABILITIES!$A$7:$A$15,0)),0)</f>
        <v>0</v>
      </c>
      <c r="M21" s="13" t="str">
        <f aca="false">IFERROR(INDEX(CAPABILITIES!$B$7:$B$15,MATCH(PLAY!$F21,CAPABILITIES!$A$7:$A$15,0)),"NONE")</f>
        <v>NONE</v>
      </c>
      <c r="N21" s="13" t="n">
        <f aca="false">IFERROR(IF(INDEX(CAPABILITIES!$B$7:$B$15,MATCH(PLAY!$F21,CAPABILITIES!$A$7:$A$15,0))="DRIVER",INDEX(CAPABILITIES!$C$7:$C$15,MATCH(PLAY!$F21,CAPABILITIES!$A$7:$A$15,0)),PLAY!$G21),"")</f>
        <v>0</v>
      </c>
      <c r="O21" s="13" t="n">
        <f aca="false">IFERROR(INDEX(CAPABILITIES!$D$7:$D$15,MATCH(PLAY!$F21,CAPABILITIES!$A$7:$A$15,0))*IF(INDEX(CAPABILITIES!$K$7:$K$15,MATCH(PLAY!$F21,CAPABILITIES!$A$7:$A$15,0))="Y",IF(IFERROR(INDEX($AA20:$AH20,MATCH(PLAY!$G21,REGIONS!$B$7:$B$14,0)),0)&lt;ASSUMPTIONS!$B$20,1,ASSUMPTIONS!$B$21),1),0)</f>
        <v>0</v>
      </c>
      <c r="P21" s="13" t="n">
        <f aca="false">IFERROR(INDEX(CAPABILITIES!$E$7:$E$15,MATCH(PLAY!$F21,CAPABILITIES!$A$7:$A$15,0)),0)</f>
        <v>0</v>
      </c>
      <c r="Q21" s="13" t="n">
        <f aca="false">IFERROR(INDEX(CAPABILITIES!$F$7:$F$15,MATCH(PLAY!$F21,CAPABILITIES!$A$7:$A$15,0)),0)</f>
        <v>0</v>
      </c>
      <c r="R21" s="13" t="n">
        <f aca="false">IFERROR(INDEX(CAPABILITIES!$G$7:$G$15,MATCH(PLAY!$F21,CAPABILITIES!$A$7:$A$15,0)),0)</f>
        <v>0</v>
      </c>
      <c r="S21" s="13" t="n">
        <f aca="false">IFERROR(INDEX(CAPABILITIES!$H$7:$H$15,MATCH(PLAY!$F21,CAPABILITIES!$A$7:$A$15,0)),"")</f>
        <v>0</v>
      </c>
      <c r="T21" s="13" t="n">
        <f aca="false">IFERROR(INDEX(CAPABILITIES!$D$7:$D$15,MATCH(PLAY!$F21,CAPABILITIES!$A$7:$A$15,0))*INDEX(CAPABILITIES!$I$7:$I$15,MATCH(PLAY!$F21,CAPABILITIES!$A$7:$A$15,0)),0)</f>
        <v>0</v>
      </c>
      <c r="U21" s="13" t="n">
        <f aca="false">IFERROR(INDEX(CAPABILITIES!$E$7:$E$15,MATCH(PLAY!$F21,CAPABILITIES!$A$7:$A$15,0))+INDEX(CAPABILITIES!$J$7:$J$15,MATCH(PLAY!$F21,CAPABILITIES!$A$7:$A$15,0)),0)</f>
        <v>0</v>
      </c>
      <c r="V21" s="13" t="n">
        <f aca="false">IFERROR(INDEX(CAPABILITIES!$L$7:$L$15,MATCH(PLAY!$F21,CAPABILITIES!$A$7:$A$15,0)),0)</f>
        <v>0</v>
      </c>
      <c r="W21" s="28" t="n">
        <f aca="false">CLIMATE!D21+SUMPRODUCT(($D$8:$D$20="ENSO")*($F$8:$F$20+$A$8:$A$20=$A21)*$E$8:$E$20)+SUMPRODUCT(($I$8:$I$20="ENSO")*($K$8:$K$20+$A$8:$A$20=$A21)*$J$8:$J$20)+SUMPRODUCT(($N$8:$N$20="ENSO")*($P$8:$P$20+$A$8:$A$20=$A21)*$O$8:$O$20)+SUMPRODUCT(($S$8:$S$20="ENSO")*($U$8:$U$20+$A$8:$A$20=$A21)*$T$8:$T$20)</f>
        <v>0.172</v>
      </c>
      <c r="X21" s="28" t="n">
        <f aca="false">CLIMATE!E21+SUMPRODUCT(($D$8:$D$20="IOD")*($F$8:$F$20+$A$8:$A$20=$A21)*$E$8:$E$20)+SUMPRODUCT(($I$8:$I$20="IOD")*($K$8:$K$20+$A$8:$A$20=$A21)*$J$8:$J$20)+SUMPRODUCT(($N$8:$N$20="IOD")*($P$8:$P$20+$A$8:$A$20=$A21)*$O$8:$O$20)+SUMPRODUCT(($S$8:$S$20="IOD")*($U$8:$U$20+$A$8:$A$20=$A21)*$T$8:$T$20)</f>
        <v>-0.084</v>
      </c>
      <c r="Y21" s="28" t="n">
        <f aca="false">CLIMATE!F21+SUMPRODUCT(($D$8:$D$20="NATL")*($F$8:$F$20+$A$8:$A$20=$A21)*$E$8:$E$20)+SUMPRODUCT(($I$8:$I$20="NATL")*($K$8:$K$20+$A$8:$A$20=$A21)*$J$8:$J$20)+SUMPRODUCT(($N$8:$N$20="NATL")*($P$8:$P$20+$A$8:$A$20=$A21)*$O$8:$O$20)+SUMPRODUCT(($S$8:$S$20="NATL")*($U$8:$U$20+$A$8:$A$20=$A21)*$T$8:$T$20)</f>
        <v>-0.229</v>
      </c>
      <c r="Z21" s="28" t="n">
        <f aca="false">CLIMATE!G21+SUMPRODUCT(($D$8:$D$20="GLOBAL")*($F$8:$F$20+$A$8:$A$20=$A21)*$E$8:$E$20)+SUMPRODUCT(($I$8:$I$20="GLOBAL")*($K$8:$K$20+$A$8:$A$20=$A21)*$J$8:$J$20)+SUMPRODUCT(($N$8:$N$20="GLOBAL")*($P$8:$P$20+$A$8:$A$20=$A21)*$O$8:$O$20)+SUMPRODUCT(($S$8:$S$20="GLOBAL")*($U$8:$U$20+$A$8:$A$20=$A21)*$T$8:$T$20)</f>
        <v>0</v>
      </c>
      <c r="AA21" s="28" t="n">
        <f aca="false">CLIMATE!H21+IFERROR(INDEX($W$8:$W$47,$A21-GRAPH!B17),0)*GRAPH!B9+IFERROR(INDEX($X$8:$X$47,$A21-GRAPH!B18),0)*GRAPH!B10+IFERROR(INDEX($Y$8:$Y$47,$A21-GRAPH!B19),0)*GRAPH!B11+IFERROR(INDEX($Z$8:$Z$47,$A21-GRAPH!B20),0)*GRAPH!B12+SUMPRODUCT(($D$8:$D$20=REGIONS!$B$7)*($F$8:$F$20+$A$8:$A$20=$A21)*$E$8:$E$20)+SUMPRODUCT(($N$8:$N$20=REGIONS!$B$7)*($P$8:$P$20+$A$8:$A$20=$A21)*$O$8:$O$20)</f>
        <v>-0.3561</v>
      </c>
      <c r="AB21" s="28" t="n">
        <f aca="false">CLIMATE!I21+IFERROR(INDEX($W$8:$W$47,$A21-GRAPH!C17),0)*GRAPH!C9+IFERROR(INDEX($X$8:$X$47,$A21-GRAPH!C18),0)*GRAPH!C10+IFERROR(INDEX($Y$8:$Y$47,$A21-GRAPH!C19),0)*GRAPH!C11+IFERROR(INDEX($Z$8:$Z$47,$A21-GRAPH!C20),0)*GRAPH!C12+SUMPRODUCT(($D$8:$D$20=REGIONS!$B$8)*($F$8:$F$20+$A$8:$A$20=$A21)*$E$8:$E$20)+SUMPRODUCT(($N$8:$N$20=REGIONS!$B$8)*($P$8:$P$20+$A$8:$A$20=$A21)*$O$8:$O$20)</f>
        <v>-0.2392</v>
      </c>
      <c r="AC21" s="28" t="n">
        <f aca="false">CLIMATE!J21+IFERROR(INDEX($W$8:$W$47,$A21-GRAPH!D17),0)*GRAPH!D9+IFERROR(INDEX($X$8:$X$47,$A21-GRAPH!D18),0)*GRAPH!D10+IFERROR(INDEX($Y$8:$Y$47,$A21-GRAPH!D19),0)*GRAPH!D11+IFERROR(INDEX($Z$8:$Z$47,$A21-GRAPH!D20),0)*GRAPH!D12+SUMPRODUCT(($D$8:$D$20=REGIONS!$B$9)*($F$8:$F$20+$A$8:$A$20=$A21)*$E$8:$E$20)+SUMPRODUCT(($N$8:$N$20=REGIONS!$B$9)*($P$8:$P$20+$A$8:$A$20=$A21)*$O$8:$O$20)</f>
        <v>-0.076</v>
      </c>
      <c r="AD21" s="28" t="n">
        <f aca="false">CLIMATE!K21+IFERROR(INDEX($W$8:$W$47,$A21-GRAPH!E17),0)*GRAPH!E9+IFERROR(INDEX($X$8:$X$47,$A21-GRAPH!E18),0)*GRAPH!E10+IFERROR(INDEX($Y$8:$Y$47,$A21-GRAPH!E19),0)*GRAPH!E11+IFERROR(INDEX($Z$8:$Z$47,$A21-GRAPH!E20),0)*GRAPH!E12+SUMPRODUCT(($D$8:$D$20=REGIONS!$B$10)*($F$8:$F$20+$A$8:$A$20=$A21)*$E$8:$E$20)+SUMPRODUCT(($N$8:$N$20=REGIONS!$B$10)*($P$8:$P$20+$A$8:$A$20=$A21)*$O$8:$O$20)</f>
        <v>-0.0378</v>
      </c>
      <c r="AE21" s="28" t="n">
        <f aca="false">CLIMATE!L21+IFERROR(INDEX($W$8:$W$47,$A21-GRAPH!F17),0)*GRAPH!F9+IFERROR(INDEX($X$8:$X$47,$A21-GRAPH!F18),0)*GRAPH!F10+IFERROR(INDEX($Y$8:$Y$47,$A21-GRAPH!F19),0)*GRAPH!F11+IFERROR(INDEX($Z$8:$Z$47,$A21-GRAPH!F20),0)*GRAPH!F12+SUMPRODUCT(($D$8:$D$20=REGIONS!$B$11)*($F$8:$F$20+$A$8:$A$20=$A21)*$E$8:$E$20)+SUMPRODUCT(($N$8:$N$20=REGIONS!$B$11)*($P$8:$P$20+$A$8:$A$20=$A21)*$O$8:$O$20)</f>
        <v>-0.0106</v>
      </c>
      <c r="AF21" s="28" t="n">
        <f aca="false">CLIMATE!M21+IFERROR(INDEX($W$8:$W$47,$A21-GRAPH!G17),0)*GRAPH!G9+IFERROR(INDEX($X$8:$X$47,$A21-GRAPH!G18),0)*GRAPH!G10+IFERROR(INDEX($Y$8:$Y$47,$A21-GRAPH!G19),0)*GRAPH!G11+IFERROR(INDEX($Z$8:$Z$47,$A21-GRAPH!G20),0)*GRAPH!G12+SUMPRODUCT(($D$8:$D$20=REGIONS!$B$12)*($F$8:$F$20+$A$8:$A$20=$A21)*$E$8:$E$20)+SUMPRODUCT(($N$8:$N$20=REGIONS!$B$12)*($P$8:$P$20+$A$8:$A$20=$A21)*$O$8:$O$20)</f>
        <v>0.5048</v>
      </c>
      <c r="AG21" s="28" t="n">
        <f aca="false">CLIMATE!N21+IFERROR(INDEX($W$8:$W$47,$A21-GRAPH!H17),0)*GRAPH!H9+IFERROR(INDEX($X$8:$X$47,$A21-GRAPH!H18),0)*GRAPH!H10+IFERROR(INDEX($Y$8:$Y$47,$A21-GRAPH!H19),0)*GRAPH!H11+IFERROR(INDEX($Z$8:$Z$47,$A21-GRAPH!H20),0)*GRAPH!H12+SUMPRODUCT(($D$8:$D$20=REGIONS!$B$13)*($F$8:$F$20+$A$8:$A$20=$A21)*$E$8:$E$20)+SUMPRODUCT(($N$8:$N$20=REGIONS!$B$13)*($P$8:$P$20+$A$8:$A$20=$A21)*$O$8:$O$20)</f>
        <v>0.2914</v>
      </c>
      <c r="AH21" s="28" t="n">
        <f aca="false">CLIMATE!O21+IFERROR(INDEX($W$8:$W$47,$A21-GRAPH!I17),0)*GRAPH!I9+IFERROR(INDEX($X$8:$X$47,$A21-GRAPH!I18),0)*GRAPH!I10+IFERROR(INDEX($Y$8:$Y$47,$A21-GRAPH!I19),0)*GRAPH!I11+IFERROR(INDEX($Z$8:$Z$47,$A21-GRAPH!I20),0)*GRAPH!I12+SUMPRODUCT(($D$8:$D$20=REGIONS!$B$14)*($F$8:$F$20+$A$8:$A$20=$A21)*$E$8:$E$20)+SUMPRODUCT(($N$8:$N$20=REGIONS!$B$14)*($P$8:$P$20+$A$8:$A$20=$A21)*$O$8:$O$20)</f>
        <v>-0.387</v>
      </c>
      <c r="AI21" s="28" t="n">
        <f aca="false">REGIONS!$F$7*(1+ASSUMPTIONS!$B$19*$A21)</f>
        <v>0.8672</v>
      </c>
      <c r="AJ21" s="28" t="n">
        <f aca="false">REGIONS!$F$8*(1+ASSUMPTIONS!$B$19*$A21)</f>
        <v>0.9756</v>
      </c>
      <c r="AK21" s="28" t="n">
        <f aca="false">REGIONS!$F$9*(1+ASSUMPTIONS!$B$19*$A21)</f>
        <v>0.9756</v>
      </c>
      <c r="AL21" s="28" t="n">
        <f aca="false">REGIONS!$F$10*(1+ASSUMPTIONS!$B$19*$A21)</f>
        <v>0.7588</v>
      </c>
      <c r="AM21" s="28" t="n">
        <f aca="false">REGIONS!$F$11*(1+ASSUMPTIONS!$B$19*$A21)</f>
        <v>0.7588</v>
      </c>
      <c r="AN21" s="28" t="n">
        <f aca="false">REGIONS!$F$12*(1+ASSUMPTIONS!$B$19*$A21)</f>
        <v>1.1924</v>
      </c>
      <c r="AO21" s="28" t="n">
        <f aca="false">REGIONS!$F$13*(1+ASSUMPTIONS!$B$19*$A21)</f>
        <v>1.3008</v>
      </c>
      <c r="AP21" s="28" t="n">
        <f aca="false">REGIONS!$F$14*(1+ASSUMPTIONS!$B$19*$A21)</f>
        <v>1.3008</v>
      </c>
      <c r="AQ21" s="11" t="n">
        <f aca="false">SUMPRODUCT(($D$8:$D$47=REGIONS!$B$7)*($A$8:$A$47&lt;=$A21)*$L$8:$L$47)+SUMPRODUCT(($N$8:$N$47=REGIONS!$B$7)*($A$8:$A$47&lt;=$A21)*$V$8:$V$47)</f>
        <v>0</v>
      </c>
      <c r="AR21" s="11" t="n">
        <f aca="false">SUMPRODUCT(($D$8:$D$47=REGIONS!$B$8)*($A$8:$A$47&lt;=$A21)*$L$8:$L$47)+SUMPRODUCT(($N$8:$N$47=REGIONS!$B$8)*($A$8:$A$47&lt;=$A21)*$V$8:$V$47)</f>
        <v>0</v>
      </c>
      <c r="AS21" s="11" t="n">
        <f aca="false">SUMPRODUCT(($D$8:$D$47=REGIONS!$B$9)*($A$8:$A$47&lt;=$A21)*$L$8:$L$47)+SUMPRODUCT(($N$8:$N$47=REGIONS!$B$9)*($A$8:$A$47&lt;=$A21)*$V$8:$V$47)</f>
        <v>0</v>
      </c>
      <c r="AT21" s="11" t="n">
        <f aca="false">SUMPRODUCT(($D$8:$D$47=REGIONS!$B$10)*($A$8:$A$47&lt;=$A21)*$L$8:$L$47)+SUMPRODUCT(($N$8:$N$47=REGIONS!$B$10)*($A$8:$A$47&lt;=$A21)*$V$8:$V$47)</f>
        <v>0</v>
      </c>
      <c r="AU21" s="11" t="n">
        <f aca="false">SUMPRODUCT(($D$8:$D$47=REGIONS!$B$11)*($A$8:$A$47&lt;=$A21)*$L$8:$L$47)+SUMPRODUCT(($N$8:$N$47=REGIONS!$B$11)*($A$8:$A$47&lt;=$A21)*$V$8:$V$47)</f>
        <v>0</v>
      </c>
      <c r="AV21" s="11" t="n">
        <f aca="false">SUMPRODUCT(($D$8:$D$47=REGIONS!$B$12)*($A$8:$A$47&lt;=$A21)*$L$8:$L$47)+SUMPRODUCT(($N$8:$N$47=REGIONS!$B$12)*($A$8:$A$47&lt;=$A21)*$V$8:$V$47)</f>
        <v>0</v>
      </c>
      <c r="AW21" s="11" t="n">
        <f aca="false">SUMPRODUCT(($D$8:$D$47=REGIONS!$B$13)*($A$8:$A$47&lt;=$A21)*$L$8:$L$47)+SUMPRODUCT(($N$8:$N$47=REGIONS!$B$13)*($A$8:$A$47&lt;=$A21)*$V$8:$V$47)</f>
        <v>0</v>
      </c>
      <c r="AX21" s="11" t="n">
        <f aca="false">SUMPRODUCT(($D$8:$D$47=REGIONS!$B$14)*($A$8:$A$47&lt;=$A21)*$L$8:$L$47)+SUMPRODUCT(($N$8:$N$47=REGIONS!$B$14)*($A$8:$A$47&lt;=$A21)*$V$8:$V$47)</f>
        <v>0</v>
      </c>
      <c r="AY21" s="12" t="n">
        <f aca="false">MAX(0,MIN(135,100-(MAX(0,-$AA21)*REGIONS!$E$7*ASSUMPTIONS!$B$7+MAX(0,$AA21-ASSUMPTIONS!$B$9)*REGIONS!$E$7*ASSUMPTIONS!$B$8)*(1-$AQ21/100)))</f>
        <v>95.0146</v>
      </c>
      <c r="AZ21" s="12" t="n">
        <f aca="false">MAX(0,MIN(135,100-(MAX(0,-$AB21)*REGIONS!$E$8*ASSUMPTIONS!$B$7+MAX(0,$AB21-ASSUMPTIONS!$B$9)*REGIONS!$E$8*ASSUMPTIONS!$B$8)*(1-$AR21/100)))</f>
        <v>96.31632</v>
      </c>
      <c r="BA21" s="12" t="n">
        <f aca="false">MAX(0,MIN(135,100-(MAX(0,-$AC21)*REGIONS!$E$9*ASSUMPTIONS!$B$7+MAX(0,$AC21-ASSUMPTIONS!$B$9)*REGIONS!$E$9*ASSUMPTIONS!$B$8)*(1-$AS21/100)))</f>
        <v>98.936</v>
      </c>
      <c r="BB21" s="12" t="n">
        <f aca="false">MAX(0,MIN(135,100-(MAX(0,-$AD21)*REGIONS!$E$10*ASSUMPTIONS!$B$7+MAX(0,$AD21-ASSUMPTIONS!$B$9)*REGIONS!$E$10*ASSUMPTIONS!$B$8)*(1-$AT21/100)))</f>
        <v>99.36496</v>
      </c>
      <c r="BC21" s="12" t="n">
        <f aca="false">MAX(0,MIN(135,100-(MAX(0,-$AE21)*REGIONS!$E$11*ASSUMPTIONS!$B$7+MAX(0,$AE21-ASSUMPTIONS!$B$9)*REGIONS!$E$11*ASSUMPTIONS!$B$8)*(1-$AU21/100)))</f>
        <v>99.83676</v>
      </c>
      <c r="BD21" s="12" t="n">
        <f aca="false">MAX(0,MIN(135,100-(MAX(0,-$AF21)*REGIONS!$E$12*ASSUMPTIONS!$B$7+MAX(0,$AF21-ASSUMPTIONS!$B$9)*REGIONS!$E$12*ASSUMPTIONS!$B$8)*(1-$AV21/100)))</f>
        <v>100</v>
      </c>
      <c r="BE21" s="12" t="n">
        <f aca="false">MAX(0,MIN(135,100-(MAX(0,-$AG21)*REGIONS!$E$13*ASSUMPTIONS!$B$7+MAX(0,$AG21-ASSUMPTIONS!$B$9)*REGIONS!$E$13*ASSUMPTIONS!$B$8)*(1-$AW21/100)))</f>
        <v>100</v>
      </c>
      <c r="BF21" s="12" t="n">
        <f aca="false">MAX(0,MIN(135,100-(MAX(0,-$AH21)*REGIONS!$E$14*ASSUMPTIONS!$B$7+MAX(0,$AH21-ASSUMPTIONS!$B$9)*REGIONS!$E$14*ASSUMPTIONS!$B$8)*(1-$AX21/100)))</f>
        <v>92.4148</v>
      </c>
      <c r="BG21" s="12" t="n">
        <f aca="false">$AY21*REGIONS!$D$7/100+$AZ21*REGIONS!$D$8/100+$BA21*REGIONS!$D$9/100+$BB21*REGIONS!$D$10/100+$BC21*REGIONS!$D$11/100+$BD21*REGIONS!$D$12/100+$BE21*REGIONS!$D$13/100+$BF21*REGIONS!$D$14/100</f>
        <v>97.6649232</v>
      </c>
      <c r="BH21" s="12" t="n">
        <f aca="false">100*(100/MAX(1,$BG21))^ASSUMPTIONS!$B$10</f>
        <v>104.344724515864</v>
      </c>
      <c r="BI21" s="12" t="n">
        <f aca="false">$AY21*$BH21/100*ASSUMPTIONS!$B$11</f>
        <v>84.2713142268729</v>
      </c>
      <c r="BJ21" s="28" t="n">
        <f aca="false">MAX(0,ABS($AA21)-$AI21*ASSUMPTIONS!$B$24)*REGIONS!$D$7/100+MAX(0,ABS($AB21)-$AJ21*ASSUMPTIONS!$B$24)*REGIONS!$D$8/100+MAX(0,ABS($AC21)-$AK21*ASSUMPTIONS!$B$24)*REGIONS!$D$9/100+MAX(0,ABS($AD21)-$AL21*ASSUMPTIONS!$B$24)*REGIONS!$D$10/100+MAX(0,ABS($AE21)-$AM21*ASSUMPTIONS!$B$24)*REGIONS!$D$11/100+MAX(0,ABS($AF21)-$AN21*ASSUMPTIONS!$B$24)*REGIONS!$D$12/100+MAX(0,ABS($AG21)-$AO21*ASSUMPTIONS!$B$24)*REGIONS!$D$13/100+MAX(0,ABS($AH21)-$AP21*ASSUMPTIONS!$B$24)*REGIONS!$D$14/100</f>
        <v>0</v>
      </c>
      <c r="BK21" s="12" t="n">
        <f aca="false">MIN(ASSUMPTIONS!$B$14,ASSUMPTIONS!$B$12+$BJ21*ASSUMPTIONS!$B$13)</f>
        <v>28</v>
      </c>
      <c r="BL21" s="11" t="n">
        <f aca="false">$H21+$R21</f>
        <v>0</v>
      </c>
      <c r="BM21" s="11" t="n">
        <f aca="false">PLAY!$H21</f>
        <v>0</v>
      </c>
      <c r="BN21" s="12" t="n">
        <f aca="false">$BI21*ASSUMPTIONS!$B$15+$BK21*ASSUMPTIONS!$B$16</f>
        <v>35.3125577072247</v>
      </c>
      <c r="BO21" s="12" t="n">
        <f aca="false">$BO20+$BN21-$BL21-$BM21-ASSUMPTIONS!$B$23</f>
        <v>166.299230386261</v>
      </c>
      <c r="BP21" s="12" t="n">
        <f aca="false">(SUMPRODUCT(($F$8:$F$20+$A$8:$A$20=$A21)*($C$8:$C$20&lt;&gt;"NONE")*$G$8:$G$20)+SUMPRODUCT(($P$8:$P$20+$A$8:$A$20=$A21)*($M$8:$M$20&lt;&gt;"NONE")*$Q$8:$Q$20))*(1+ASSUMPTIONS!$B$22*(MAX(0,ABS($AA21)/$AI21-1)+MAX(0,ABS($AB21)/$AJ21-1)+MAX(0,ABS($AC21)/$AK21-1)+MAX(0,ABS($AD21)/$AL21-1)+MAX(0,ABS($AE21)/$AM21-1)+MAX(0,ABS($AF21)/$AN21-1)+MAX(0,ABS($AG21)/$AO21-1)+MAX(0,ABS($AH21)/$AP21-1))/8)</f>
        <v>0</v>
      </c>
      <c r="BQ21" s="12" t="n">
        <f aca="false">MAX(0,$BQ20*(1-ASSUMPTIONS!$B$18)+$BP21-$BM21*ASSUMPTIONS!$B$17)</f>
        <v>1.29406066234472</v>
      </c>
    </row>
    <row r="22" customFormat="false" ht="15" hidden="false" customHeight="false" outlineLevel="0" collapsed="false">
      <c r="A22" s="13" t="n">
        <v>15</v>
      </c>
      <c r="B22" s="11" t="n">
        <f aca="false">CLIMATE!B22</f>
        <v>1949</v>
      </c>
      <c r="C22" s="13" t="str">
        <f aca="false">IFERROR(INDEX(CAPABILITIES!$B$7:$B$15,MATCH(PLAY!$D22,CAPABILITIES!$A$7:$A$15,0)),"NONE")</f>
        <v>NONE</v>
      </c>
      <c r="D22" s="13" t="n">
        <f aca="false">IFERROR(IF(INDEX(CAPABILITIES!$B$7:$B$15,MATCH(PLAY!$D22,CAPABILITIES!$A$7:$A$15,0))="DRIVER",INDEX(CAPABILITIES!$C$7:$C$15,MATCH(PLAY!$D22,CAPABILITIES!$A$7:$A$15,0)),PLAY!$E22),"")</f>
        <v>0</v>
      </c>
      <c r="E22" s="13" t="n">
        <f aca="false">IFERROR(INDEX(CAPABILITIES!$D$7:$D$15,MATCH(PLAY!$D22,CAPABILITIES!$A$7:$A$15,0))*IF(INDEX(CAPABILITIES!$K$7:$K$15,MATCH(PLAY!$D22,CAPABILITIES!$A$7:$A$15,0))="Y",IF(IFERROR(INDEX($AA21:$AH21,MATCH(PLAY!$E22,REGIONS!$B$7:$B$14,0)),0)&lt;ASSUMPTIONS!$B$20,1,ASSUMPTIONS!$B$21),1),0)</f>
        <v>0</v>
      </c>
      <c r="F22" s="13" t="n">
        <f aca="false">IFERROR(INDEX(CAPABILITIES!$E$7:$E$15,MATCH(PLAY!$D22,CAPABILITIES!$A$7:$A$15,0)),0)</f>
        <v>0</v>
      </c>
      <c r="G22" s="13" t="n">
        <f aca="false">IFERROR(INDEX(CAPABILITIES!$F$7:$F$15,MATCH(PLAY!$D22,CAPABILITIES!$A$7:$A$15,0)),0)</f>
        <v>0</v>
      </c>
      <c r="H22" s="13" t="n">
        <f aca="false">IFERROR(INDEX(CAPABILITIES!$G$7:$G$15,MATCH(PLAY!$D22,CAPABILITIES!$A$7:$A$15,0)),0)</f>
        <v>0</v>
      </c>
      <c r="I22" s="13" t="n">
        <f aca="false">IFERROR(INDEX(CAPABILITIES!$H$7:$H$15,MATCH(PLAY!$D22,CAPABILITIES!$A$7:$A$15,0)),"")</f>
        <v>0</v>
      </c>
      <c r="J22" s="13" t="n">
        <f aca="false">IFERROR(INDEX(CAPABILITIES!$D$7:$D$15,MATCH(PLAY!$D22,CAPABILITIES!$A$7:$A$15,0))*INDEX(CAPABILITIES!$I$7:$I$15,MATCH(PLAY!$D22,CAPABILITIES!$A$7:$A$15,0)),0)</f>
        <v>0</v>
      </c>
      <c r="K22" s="13" t="n">
        <f aca="false">IFERROR(INDEX(CAPABILITIES!$E$7:$E$15,MATCH(PLAY!$D22,CAPABILITIES!$A$7:$A$15,0))+INDEX(CAPABILITIES!$J$7:$J$15,MATCH(PLAY!$D22,CAPABILITIES!$A$7:$A$15,0)),0)</f>
        <v>0</v>
      </c>
      <c r="L22" s="13" t="n">
        <f aca="false">IFERROR(INDEX(CAPABILITIES!$L$7:$L$15,MATCH(PLAY!$D22,CAPABILITIES!$A$7:$A$15,0)),0)</f>
        <v>0</v>
      </c>
      <c r="M22" s="13" t="str">
        <f aca="false">IFERROR(INDEX(CAPABILITIES!$B$7:$B$15,MATCH(PLAY!$F22,CAPABILITIES!$A$7:$A$15,0)),"NONE")</f>
        <v>NONE</v>
      </c>
      <c r="N22" s="13" t="n">
        <f aca="false">IFERROR(IF(INDEX(CAPABILITIES!$B$7:$B$15,MATCH(PLAY!$F22,CAPABILITIES!$A$7:$A$15,0))="DRIVER",INDEX(CAPABILITIES!$C$7:$C$15,MATCH(PLAY!$F22,CAPABILITIES!$A$7:$A$15,0)),PLAY!$G22),"")</f>
        <v>0</v>
      </c>
      <c r="O22" s="13" t="n">
        <f aca="false">IFERROR(INDEX(CAPABILITIES!$D$7:$D$15,MATCH(PLAY!$F22,CAPABILITIES!$A$7:$A$15,0))*IF(INDEX(CAPABILITIES!$K$7:$K$15,MATCH(PLAY!$F22,CAPABILITIES!$A$7:$A$15,0))="Y",IF(IFERROR(INDEX($AA21:$AH21,MATCH(PLAY!$G22,REGIONS!$B$7:$B$14,0)),0)&lt;ASSUMPTIONS!$B$20,1,ASSUMPTIONS!$B$21),1),0)</f>
        <v>0</v>
      </c>
      <c r="P22" s="13" t="n">
        <f aca="false">IFERROR(INDEX(CAPABILITIES!$E$7:$E$15,MATCH(PLAY!$F22,CAPABILITIES!$A$7:$A$15,0)),0)</f>
        <v>0</v>
      </c>
      <c r="Q22" s="13" t="n">
        <f aca="false">IFERROR(INDEX(CAPABILITIES!$F$7:$F$15,MATCH(PLAY!$F22,CAPABILITIES!$A$7:$A$15,0)),0)</f>
        <v>0</v>
      </c>
      <c r="R22" s="13" t="n">
        <f aca="false">IFERROR(INDEX(CAPABILITIES!$G$7:$G$15,MATCH(PLAY!$F22,CAPABILITIES!$A$7:$A$15,0)),0)</f>
        <v>0</v>
      </c>
      <c r="S22" s="13" t="n">
        <f aca="false">IFERROR(INDEX(CAPABILITIES!$H$7:$H$15,MATCH(PLAY!$F22,CAPABILITIES!$A$7:$A$15,0)),"")</f>
        <v>0</v>
      </c>
      <c r="T22" s="13" t="n">
        <f aca="false">IFERROR(INDEX(CAPABILITIES!$D$7:$D$15,MATCH(PLAY!$F22,CAPABILITIES!$A$7:$A$15,0))*INDEX(CAPABILITIES!$I$7:$I$15,MATCH(PLAY!$F22,CAPABILITIES!$A$7:$A$15,0)),0)</f>
        <v>0</v>
      </c>
      <c r="U22" s="13" t="n">
        <f aca="false">IFERROR(INDEX(CAPABILITIES!$E$7:$E$15,MATCH(PLAY!$F22,CAPABILITIES!$A$7:$A$15,0))+INDEX(CAPABILITIES!$J$7:$J$15,MATCH(PLAY!$F22,CAPABILITIES!$A$7:$A$15,0)),0)</f>
        <v>0</v>
      </c>
      <c r="V22" s="13" t="n">
        <f aca="false">IFERROR(INDEX(CAPABILITIES!$L$7:$L$15,MATCH(PLAY!$F22,CAPABILITIES!$A$7:$A$15,0)),0)</f>
        <v>0</v>
      </c>
      <c r="W22" s="28" t="n">
        <f aca="false">CLIMATE!D22+SUMPRODUCT(($D$8:$D$21="ENSO")*($F$8:$F$21+$A$8:$A$21=$A22)*$E$8:$E$21)+SUMPRODUCT(($I$8:$I$21="ENSO")*($K$8:$K$21+$A$8:$A$21=$A22)*$J$8:$J$21)+SUMPRODUCT(($N$8:$N$21="ENSO")*($P$8:$P$21+$A$8:$A$21=$A22)*$O$8:$O$21)+SUMPRODUCT(($S$8:$S$21="ENSO")*($U$8:$U$21+$A$8:$A$21=$A22)*$T$8:$T$21)</f>
        <v>0.582</v>
      </c>
      <c r="X22" s="28" t="n">
        <f aca="false">CLIMATE!E22+SUMPRODUCT(($D$8:$D$21="IOD")*($F$8:$F$21+$A$8:$A$21=$A22)*$E$8:$E$21)+SUMPRODUCT(($I$8:$I$21="IOD")*($K$8:$K$21+$A$8:$A$21=$A22)*$J$8:$J$21)+SUMPRODUCT(($N$8:$N$21="IOD")*($P$8:$P$21+$A$8:$A$21=$A22)*$O$8:$O$21)+SUMPRODUCT(($S$8:$S$21="IOD")*($U$8:$U$21+$A$8:$A$21=$A22)*$T$8:$T$21)</f>
        <v>-0.199</v>
      </c>
      <c r="Y22" s="28" t="n">
        <f aca="false">CLIMATE!F22+SUMPRODUCT(($D$8:$D$21="NATL")*($F$8:$F$21+$A$8:$A$21=$A22)*$E$8:$E$21)+SUMPRODUCT(($I$8:$I$21="NATL")*($K$8:$K$21+$A$8:$A$21=$A22)*$J$8:$J$21)+SUMPRODUCT(($N$8:$N$21="NATL")*($P$8:$P$21+$A$8:$A$21=$A22)*$O$8:$O$21)+SUMPRODUCT(($S$8:$S$21="NATL")*($U$8:$U$21+$A$8:$A$21=$A22)*$T$8:$T$21)</f>
        <v>-0.52</v>
      </c>
      <c r="Z22" s="28" t="n">
        <f aca="false">CLIMATE!G22+SUMPRODUCT(($D$8:$D$21="GLOBAL")*($F$8:$F$21+$A$8:$A$21=$A22)*$E$8:$E$21)+SUMPRODUCT(($I$8:$I$21="GLOBAL")*($K$8:$K$21+$A$8:$A$21=$A22)*$J$8:$J$21)+SUMPRODUCT(($N$8:$N$21="GLOBAL")*($P$8:$P$21+$A$8:$A$21=$A22)*$O$8:$O$21)+SUMPRODUCT(($S$8:$S$21="GLOBAL")*($U$8:$U$21+$A$8:$A$21=$A22)*$T$8:$T$21)</f>
        <v>0</v>
      </c>
      <c r="AA22" s="28" t="n">
        <f aca="false">CLIMATE!H22+IFERROR(INDEX($W$8:$W$47,$A22-GRAPH!B17),0)*GRAPH!B9+IFERROR(INDEX($X$8:$X$47,$A22-GRAPH!B18),0)*GRAPH!B10+IFERROR(INDEX($Y$8:$Y$47,$A22-GRAPH!B19),0)*GRAPH!B11+IFERROR(INDEX($Z$8:$Z$47,$A22-GRAPH!B20),0)*GRAPH!B12+SUMPRODUCT(($D$8:$D$21=REGIONS!$B$7)*($F$8:$F$21+$A$8:$A$21=$A22)*$E$8:$E$21)+SUMPRODUCT(($N$8:$N$21=REGIONS!$B$7)*($P$8:$P$21+$A$8:$A$21=$A22)*$O$8:$O$21)</f>
        <v>0.1946</v>
      </c>
      <c r="AB22" s="28" t="n">
        <f aca="false">CLIMATE!I22+IFERROR(INDEX($W$8:$W$47,$A22-GRAPH!C17),0)*GRAPH!C9+IFERROR(INDEX($X$8:$X$47,$A22-GRAPH!C18),0)*GRAPH!C10+IFERROR(INDEX($Y$8:$Y$47,$A22-GRAPH!C19),0)*GRAPH!C11+IFERROR(INDEX($Z$8:$Z$47,$A22-GRAPH!C20),0)*GRAPH!C12+SUMPRODUCT(($D$8:$D$21=REGIONS!$B$8)*($F$8:$F$21+$A$8:$A$21=$A22)*$E$8:$E$21)+SUMPRODUCT(($N$8:$N$21=REGIONS!$B$8)*($P$8:$P$21+$A$8:$A$21=$A22)*$O$8:$O$21)</f>
        <v>-0.1038</v>
      </c>
      <c r="AC22" s="28" t="n">
        <f aca="false">CLIMATE!J22+IFERROR(INDEX($W$8:$W$47,$A22-GRAPH!D17),0)*GRAPH!D9+IFERROR(INDEX($X$8:$X$47,$A22-GRAPH!D18),0)*GRAPH!D10+IFERROR(INDEX($Y$8:$Y$47,$A22-GRAPH!D19),0)*GRAPH!D11+IFERROR(INDEX($Z$8:$Z$47,$A22-GRAPH!D20),0)*GRAPH!D12+SUMPRODUCT(($D$8:$D$21=REGIONS!$B$9)*($F$8:$F$21+$A$8:$A$21=$A22)*$E$8:$E$21)+SUMPRODUCT(($N$8:$N$21=REGIONS!$B$9)*($P$8:$P$21+$A$8:$A$21=$A22)*$O$8:$O$21)</f>
        <v>-0.232</v>
      </c>
      <c r="AD22" s="28" t="n">
        <f aca="false">CLIMATE!K22+IFERROR(INDEX($W$8:$W$47,$A22-GRAPH!E17),0)*GRAPH!E9+IFERROR(INDEX($X$8:$X$47,$A22-GRAPH!E18),0)*GRAPH!E10+IFERROR(INDEX($Y$8:$Y$47,$A22-GRAPH!E19),0)*GRAPH!E11+IFERROR(INDEX($Z$8:$Z$47,$A22-GRAPH!E20),0)*GRAPH!E12+SUMPRODUCT(($D$8:$D$21=REGIONS!$B$10)*($F$8:$F$21+$A$8:$A$21=$A22)*$E$8:$E$21)+SUMPRODUCT(($N$8:$N$21=REGIONS!$B$10)*($P$8:$P$21+$A$8:$A$21=$A22)*$O$8:$O$21)</f>
        <v>-0.3962</v>
      </c>
      <c r="AE22" s="28" t="n">
        <f aca="false">CLIMATE!L22+IFERROR(INDEX($W$8:$W$47,$A22-GRAPH!F17),0)*GRAPH!F9+IFERROR(INDEX($X$8:$X$47,$A22-GRAPH!F18),0)*GRAPH!F10+IFERROR(INDEX($Y$8:$Y$47,$A22-GRAPH!F19),0)*GRAPH!F11+IFERROR(INDEX($Z$8:$Z$47,$A22-GRAPH!F20),0)*GRAPH!F12+SUMPRODUCT(($D$8:$D$21=REGIONS!$B$11)*($F$8:$F$21+$A$8:$A$21=$A22)*$E$8:$E$21)+SUMPRODUCT(($N$8:$N$21=REGIONS!$B$11)*($P$8:$P$21+$A$8:$A$21=$A22)*$O$8:$O$21)</f>
        <v>-0.4756</v>
      </c>
      <c r="AF22" s="28" t="n">
        <f aca="false">CLIMATE!M22+IFERROR(INDEX($W$8:$W$47,$A22-GRAPH!G17),0)*GRAPH!G9+IFERROR(INDEX($X$8:$X$47,$A22-GRAPH!G18),0)*GRAPH!G10+IFERROR(INDEX($Y$8:$Y$47,$A22-GRAPH!G19),0)*GRAPH!G11+IFERROR(INDEX($Z$8:$Z$47,$A22-GRAPH!G20),0)*GRAPH!G12+SUMPRODUCT(($D$8:$D$21=REGIONS!$B$12)*($F$8:$F$21+$A$8:$A$21=$A22)*$E$8:$E$21)+SUMPRODUCT(($N$8:$N$21=REGIONS!$B$12)*($P$8:$P$21+$A$8:$A$21=$A22)*$O$8:$O$21)</f>
        <v>-0.0314</v>
      </c>
      <c r="AG22" s="28" t="n">
        <f aca="false">CLIMATE!N22+IFERROR(INDEX($W$8:$W$47,$A22-GRAPH!H17),0)*GRAPH!H9+IFERROR(INDEX($X$8:$X$47,$A22-GRAPH!H18),0)*GRAPH!H10+IFERROR(INDEX($Y$8:$Y$47,$A22-GRAPH!H19),0)*GRAPH!H11+IFERROR(INDEX($Z$8:$Z$47,$A22-GRAPH!H20),0)*GRAPH!H12+SUMPRODUCT(($D$8:$D$21=REGIONS!$B$13)*($F$8:$F$21+$A$8:$A$21=$A22)*$E$8:$E$21)+SUMPRODUCT(($N$8:$N$21=REGIONS!$B$13)*($P$8:$P$21+$A$8:$A$21=$A22)*$O$8:$O$21)</f>
        <v>0.0226</v>
      </c>
      <c r="AH22" s="28" t="n">
        <f aca="false">CLIMATE!O22+IFERROR(INDEX($W$8:$W$47,$A22-GRAPH!I17),0)*GRAPH!I9+IFERROR(INDEX($X$8:$X$47,$A22-GRAPH!I18),0)*GRAPH!I10+IFERROR(INDEX($Y$8:$Y$47,$A22-GRAPH!I19),0)*GRAPH!I11+IFERROR(INDEX($Z$8:$Z$47,$A22-GRAPH!I20),0)*GRAPH!I12+SUMPRODUCT(($D$8:$D$21=REGIONS!$B$14)*($F$8:$F$21+$A$8:$A$21=$A22)*$E$8:$E$21)+SUMPRODUCT(($N$8:$N$21=REGIONS!$B$14)*($P$8:$P$21+$A$8:$A$21=$A22)*$O$8:$O$21)</f>
        <v>-0.0632</v>
      </c>
      <c r="AI22" s="28" t="n">
        <f aca="false">REGIONS!$F$7*(1+ASSUMPTIONS!$B$19*$A22)</f>
        <v>0.872</v>
      </c>
      <c r="AJ22" s="28" t="n">
        <f aca="false">REGIONS!$F$8*(1+ASSUMPTIONS!$B$19*$A22)</f>
        <v>0.981</v>
      </c>
      <c r="AK22" s="28" t="n">
        <f aca="false">REGIONS!$F$9*(1+ASSUMPTIONS!$B$19*$A22)</f>
        <v>0.981</v>
      </c>
      <c r="AL22" s="28" t="n">
        <f aca="false">REGIONS!$F$10*(1+ASSUMPTIONS!$B$19*$A22)</f>
        <v>0.763</v>
      </c>
      <c r="AM22" s="28" t="n">
        <f aca="false">REGIONS!$F$11*(1+ASSUMPTIONS!$B$19*$A22)</f>
        <v>0.763</v>
      </c>
      <c r="AN22" s="28" t="n">
        <f aca="false">REGIONS!$F$12*(1+ASSUMPTIONS!$B$19*$A22)</f>
        <v>1.199</v>
      </c>
      <c r="AO22" s="28" t="n">
        <f aca="false">REGIONS!$F$13*(1+ASSUMPTIONS!$B$19*$A22)</f>
        <v>1.308</v>
      </c>
      <c r="AP22" s="28" t="n">
        <f aca="false">REGIONS!$F$14*(1+ASSUMPTIONS!$B$19*$A22)</f>
        <v>1.308</v>
      </c>
      <c r="AQ22" s="11" t="n">
        <f aca="false">SUMPRODUCT(($D$8:$D$47=REGIONS!$B$7)*($A$8:$A$47&lt;=$A22)*$L$8:$L$47)+SUMPRODUCT(($N$8:$N$47=REGIONS!$B$7)*($A$8:$A$47&lt;=$A22)*$V$8:$V$47)</f>
        <v>0</v>
      </c>
      <c r="AR22" s="11" t="n">
        <f aca="false">SUMPRODUCT(($D$8:$D$47=REGIONS!$B$8)*($A$8:$A$47&lt;=$A22)*$L$8:$L$47)+SUMPRODUCT(($N$8:$N$47=REGIONS!$B$8)*($A$8:$A$47&lt;=$A22)*$V$8:$V$47)</f>
        <v>0</v>
      </c>
      <c r="AS22" s="11" t="n">
        <f aca="false">SUMPRODUCT(($D$8:$D$47=REGIONS!$B$9)*($A$8:$A$47&lt;=$A22)*$L$8:$L$47)+SUMPRODUCT(($N$8:$N$47=REGIONS!$B$9)*($A$8:$A$47&lt;=$A22)*$V$8:$V$47)</f>
        <v>0</v>
      </c>
      <c r="AT22" s="11" t="n">
        <f aca="false">SUMPRODUCT(($D$8:$D$47=REGIONS!$B$10)*($A$8:$A$47&lt;=$A22)*$L$8:$L$47)+SUMPRODUCT(($N$8:$N$47=REGIONS!$B$10)*($A$8:$A$47&lt;=$A22)*$V$8:$V$47)</f>
        <v>0</v>
      </c>
      <c r="AU22" s="11" t="n">
        <f aca="false">SUMPRODUCT(($D$8:$D$47=REGIONS!$B$11)*($A$8:$A$47&lt;=$A22)*$L$8:$L$47)+SUMPRODUCT(($N$8:$N$47=REGIONS!$B$11)*($A$8:$A$47&lt;=$A22)*$V$8:$V$47)</f>
        <v>0</v>
      </c>
      <c r="AV22" s="11" t="n">
        <f aca="false">SUMPRODUCT(($D$8:$D$47=REGIONS!$B$12)*($A$8:$A$47&lt;=$A22)*$L$8:$L$47)+SUMPRODUCT(($N$8:$N$47=REGIONS!$B$12)*($A$8:$A$47&lt;=$A22)*$V$8:$V$47)</f>
        <v>0</v>
      </c>
      <c r="AW22" s="11" t="n">
        <f aca="false">SUMPRODUCT(($D$8:$D$47=REGIONS!$B$13)*($A$8:$A$47&lt;=$A22)*$L$8:$L$47)+SUMPRODUCT(($N$8:$N$47=REGIONS!$B$13)*($A$8:$A$47&lt;=$A22)*$V$8:$V$47)</f>
        <v>0</v>
      </c>
      <c r="AX22" s="11" t="n">
        <f aca="false">SUMPRODUCT(($D$8:$D$47=REGIONS!$B$14)*($A$8:$A$47&lt;=$A22)*$L$8:$L$47)+SUMPRODUCT(($N$8:$N$47=REGIONS!$B$14)*($A$8:$A$47&lt;=$A22)*$V$8:$V$47)</f>
        <v>0</v>
      </c>
      <c r="AY22" s="12" t="n">
        <f aca="false">MAX(0,MIN(135,100-(MAX(0,-$AA22)*REGIONS!$E$7*ASSUMPTIONS!$B$7+MAX(0,$AA22-ASSUMPTIONS!$B$9)*REGIONS!$E$7*ASSUMPTIONS!$B$8)*(1-$AQ22/100)))</f>
        <v>100</v>
      </c>
      <c r="AZ22" s="12" t="n">
        <f aca="false">MAX(0,MIN(135,100-(MAX(0,-$AB22)*REGIONS!$E$8*ASSUMPTIONS!$B$7+MAX(0,$AB22-ASSUMPTIONS!$B$9)*REGIONS!$E$8*ASSUMPTIONS!$B$8)*(1-$AR22/100)))</f>
        <v>98.40148</v>
      </c>
      <c r="BA22" s="12" t="n">
        <f aca="false">MAX(0,MIN(135,100-(MAX(0,-$AC22)*REGIONS!$E$9*ASSUMPTIONS!$B$7+MAX(0,$AC22-ASSUMPTIONS!$B$9)*REGIONS!$E$9*ASSUMPTIONS!$B$8)*(1-$AS22/100)))</f>
        <v>96.752</v>
      </c>
      <c r="BB22" s="12" t="n">
        <f aca="false">MAX(0,MIN(135,100-(MAX(0,-$AD22)*REGIONS!$E$10*ASSUMPTIONS!$B$7+MAX(0,$AD22-ASSUMPTIONS!$B$9)*REGIONS!$E$10*ASSUMPTIONS!$B$8)*(1-$AT22/100)))</f>
        <v>93.34384</v>
      </c>
      <c r="BC22" s="12" t="n">
        <f aca="false">MAX(0,MIN(135,100-(MAX(0,-$AE22)*REGIONS!$E$11*ASSUMPTIONS!$B$7+MAX(0,$AE22-ASSUMPTIONS!$B$9)*REGIONS!$E$11*ASSUMPTIONS!$B$8)*(1-$AU22/100)))</f>
        <v>92.67576</v>
      </c>
      <c r="BD22" s="12" t="n">
        <f aca="false">MAX(0,MIN(135,100-(MAX(0,-$AF22)*REGIONS!$E$12*ASSUMPTIONS!$B$7+MAX(0,$AF22-ASSUMPTIONS!$B$9)*REGIONS!$E$12*ASSUMPTIONS!$B$8)*(1-$AV22/100)))</f>
        <v>99.42852</v>
      </c>
      <c r="BE22" s="12" t="n">
        <f aca="false">MAX(0,MIN(135,100-(MAX(0,-$AG22)*REGIONS!$E$13*ASSUMPTIONS!$B$7+MAX(0,$AG22-ASSUMPTIONS!$B$9)*REGIONS!$E$13*ASSUMPTIONS!$B$8)*(1-$AW22/100)))</f>
        <v>100</v>
      </c>
      <c r="BF22" s="12" t="n">
        <f aca="false">MAX(0,MIN(135,100-(MAX(0,-$AH22)*REGIONS!$E$14*ASSUMPTIONS!$B$7+MAX(0,$AH22-ASSUMPTIONS!$B$9)*REGIONS!$E$14*ASSUMPTIONS!$B$8)*(1-$AX22/100)))</f>
        <v>98.76128</v>
      </c>
      <c r="BG22" s="12" t="n">
        <f aca="false">$AY22*REGIONS!$D$7/100+$AZ22*REGIONS!$D$8/100+$BA22*REGIONS!$D$9/100+$BB22*REGIONS!$D$10/100+$BC22*REGIONS!$D$11/100+$BD22*REGIONS!$D$12/100+$BE22*REGIONS!$D$13/100+$BF22*REGIONS!$D$14/100</f>
        <v>97.0656924</v>
      </c>
      <c r="BH22" s="12" t="n">
        <f aca="false">100*(100/MAX(1,$BG22))^ASSUMPTIONS!$B$10</f>
        <v>105.507088247326</v>
      </c>
      <c r="BI22" s="12" t="n">
        <f aca="false">$AY22*$BH22/100*ASSUMPTIONS!$B$11</f>
        <v>89.6810250102271</v>
      </c>
      <c r="BJ22" s="28" t="n">
        <f aca="false">MAX(0,ABS($AA22)-$AI22*ASSUMPTIONS!$B$24)*REGIONS!$D$7/100+MAX(0,ABS($AB22)-$AJ22*ASSUMPTIONS!$B$24)*REGIONS!$D$8/100+MAX(0,ABS($AC22)-$AK22*ASSUMPTIONS!$B$24)*REGIONS!$D$9/100+MAX(0,ABS($AD22)-$AL22*ASSUMPTIONS!$B$24)*REGIONS!$D$10/100+MAX(0,ABS($AE22)-$AM22*ASSUMPTIONS!$B$24)*REGIONS!$D$11/100+MAX(0,ABS($AF22)-$AN22*ASSUMPTIONS!$B$24)*REGIONS!$D$12/100+MAX(0,ABS($AG22)-$AO22*ASSUMPTIONS!$B$24)*REGIONS!$D$13/100+MAX(0,ABS($AH22)-$AP22*ASSUMPTIONS!$B$24)*REGIONS!$D$14/100</f>
        <v>0</v>
      </c>
      <c r="BK22" s="12" t="n">
        <f aca="false">MIN(ASSUMPTIONS!$B$14,ASSUMPTIONS!$B$12+$BJ22*ASSUMPTIONS!$B$13)</f>
        <v>28</v>
      </c>
      <c r="BL22" s="11" t="n">
        <f aca="false">$H22+$R22</f>
        <v>0</v>
      </c>
      <c r="BM22" s="11" t="n">
        <f aca="false">PLAY!$H22</f>
        <v>0</v>
      </c>
      <c r="BN22" s="12" t="n">
        <f aca="false">$BI22*ASSUMPTIONS!$B$15+$BK22*ASSUMPTIONS!$B$16</f>
        <v>35.9617230012273</v>
      </c>
      <c r="BO22" s="12" t="n">
        <f aca="false">$BO21+$BN22-$BL22-$BM22-ASSUMPTIONS!$B$23</f>
        <v>170.260953387488</v>
      </c>
      <c r="BP22" s="12" t="n">
        <f aca="false">(SUMPRODUCT(($F$8:$F$21+$A$8:$A$21=$A22)*($C$8:$C$21&lt;&gt;"NONE")*$G$8:$G$21)+SUMPRODUCT(($P$8:$P$21+$A$8:$A$21=$A22)*($M$8:$M$21&lt;&gt;"NONE")*$Q$8:$Q$21))*(1+ASSUMPTIONS!$B$22*(MAX(0,ABS($AA22)/$AI22-1)+MAX(0,ABS($AB22)/$AJ22-1)+MAX(0,ABS($AC22)/$AK22-1)+MAX(0,ABS($AD22)/$AL22-1)+MAX(0,ABS($AE22)/$AM22-1)+MAX(0,ABS($AF22)/$AN22-1)+MAX(0,ABS($AG22)/$AO22-1)+MAX(0,ABS($AH22)/$AP22-1))/8)</f>
        <v>0</v>
      </c>
      <c r="BQ22" s="12" t="n">
        <f aca="false">MAX(0,$BQ21*(1-ASSUMPTIONS!$B$18)+$BP22-$BM22*ASSUMPTIONS!$B$17)</f>
        <v>1.24229823585093</v>
      </c>
    </row>
    <row r="23" customFormat="false" ht="15" hidden="false" customHeight="false" outlineLevel="0" collapsed="false">
      <c r="A23" s="13" t="n">
        <v>16</v>
      </c>
      <c r="B23" s="11" t="n">
        <f aca="false">CLIMATE!B23</f>
        <v>1949</v>
      </c>
      <c r="C23" s="13" t="str">
        <f aca="false">IFERROR(INDEX(CAPABILITIES!$B$7:$B$15,MATCH(PLAY!$D23,CAPABILITIES!$A$7:$A$15,0)),"NONE")</f>
        <v>NONE</v>
      </c>
      <c r="D23" s="13" t="n">
        <f aca="false">IFERROR(IF(INDEX(CAPABILITIES!$B$7:$B$15,MATCH(PLAY!$D23,CAPABILITIES!$A$7:$A$15,0))="DRIVER",INDEX(CAPABILITIES!$C$7:$C$15,MATCH(PLAY!$D23,CAPABILITIES!$A$7:$A$15,0)),PLAY!$E23),"")</f>
        <v>0</v>
      </c>
      <c r="E23" s="13" t="n">
        <f aca="false">IFERROR(INDEX(CAPABILITIES!$D$7:$D$15,MATCH(PLAY!$D23,CAPABILITIES!$A$7:$A$15,0))*IF(INDEX(CAPABILITIES!$K$7:$K$15,MATCH(PLAY!$D23,CAPABILITIES!$A$7:$A$15,0))="Y",IF(IFERROR(INDEX($AA22:$AH22,MATCH(PLAY!$E23,REGIONS!$B$7:$B$14,0)),0)&lt;ASSUMPTIONS!$B$20,1,ASSUMPTIONS!$B$21),1),0)</f>
        <v>0</v>
      </c>
      <c r="F23" s="13" t="n">
        <f aca="false">IFERROR(INDEX(CAPABILITIES!$E$7:$E$15,MATCH(PLAY!$D23,CAPABILITIES!$A$7:$A$15,0)),0)</f>
        <v>0</v>
      </c>
      <c r="G23" s="13" t="n">
        <f aca="false">IFERROR(INDEX(CAPABILITIES!$F$7:$F$15,MATCH(PLAY!$D23,CAPABILITIES!$A$7:$A$15,0)),0)</f>
        <v>0</v>
      </c>
      <c r="H23" s="13" t="n">
        <f aca="false">IFERROR(INDEX(CAPABILITIES!$G$7:$G$15,MATCH(PLAY!$D23,CAPABILITIES!$A$7:$A$15,0)),0)</f>
        <v>0</v>
      </c>
      <c r="I23" s="13" t="n">
        <f aca="false">IFERROR(INDEX(CAPABILITIES!$H$7:$H$15,MATCH(PLAY!$D23,CAPABILITIES!$A$7:$A$15,0)),"")</f>
        <v>0</v>
      </c>
      <c r="J23" s="13" t="n">
        <f aca="false">IFERROR(INDEX(CAPABILITIES!$D$7:$D$15,MATCH(PLAY!$D23,CAPABILITIES!$A$7:$A$15,0))*INDEX(CAPABILITIES!$I$7:$I$15,MATCH(PLAY!$D23,CAPABILITIES!$A$7:$A$15,0)),0)</f>
        <v>0</v>
      </c>
      <c r="K23" s="13" t="n">
        <f aca="false">IFERROR(INDEX(CAPABILITIES!$E$7:$E$15,MATCH(PLAY!$D23,CAPABILITIES!$A$7:$A$15,0))+INDEX(CAPABILITIES!$J$7:$J$15,MATCH(PLAY!$D23,CAPABILITIES!$A$7:$A$15,0)),0)</f>
        <v>0</v>
      </c>
      <c r="L23" s="13" t="n">
        <f aca="false">IFERROR(INDEX(CAPABILITIES!$L$7:$L$15,MATCH(PLAY!$D23,CAPABILITIES!$A$7:$A$15,0)),0)</f>
        <v>0</v>
      </c>
      <c r="M23" s="13" t="str">
        <f aca="false">IFERROR(INDEX(CAPABILITIES!$B$7:$B$15,MATCH(PLAY!$F23,CAPABILITIES!$A$7:$A$15,0)),"NONE")</f>
        <v>NONE</v>
      </c>
      <c r="N23" s="13" t="n">
        <f aca="false">IFERROR(IF(INDEX(CAPABILITIES!$B$7:$B$15,MATCH(PLAY!$F23,CAPABILITIES!$A$7:$A$15,0))="DRIVER",INDEX(CAPABILITIES!$C$7:$C$15,MATCH(PLAY!$F23,CAPABILITIES!$A$7:$A$15,0)),PLAY!$G23),"")</f>
        <v>0</v>
      </c>
      <c r="O23" s="13" t="n">
        <f aca="false">IFERROR(INDEX(CAPABILITIES!$D$7:$D$15,MATCH(PLAY!$F23,CAPABILITIES!$A$7:$A$15,0))*IF(INDEX(CAPABILITIES!$K$7:$K$15,MATCH(PLAY!$F23,CAPABILITIES!$A$7:$A$15,0))="Y",IF(IFERROR(INDEX($AA22:$AH22,MATCH(PLAY!$G23,REGIONS!$B$7:$B$14,0)),0)&lt;ASSUMPTIONS!$B$20,1,ASSUMPTIONS!$B$21),1),0)</f>
        <v>0</v>
      </c>
      <c r="P23" s="13" t="n">
        <f aca="false">IFERROR(INDEX(CAPABILITIES!$E$7:$E$15,MATCH(PLAY!$F23,CAPABILITIES!$A$7:$A$15,0)),0)</f>
        <v>0</v>
      </c>
      <c r="Q23" s="13" t="n">
        <f aca="false">IFERROR(INDEX(CAPABILITIES!$F$7:$F$15,MATCH(PLAY!$F23,CAPABILITIES!$A$7:$A$15,0)),0)</f>
        <v>0</v>
      </c>
      <c r="R23" s="13" t="n">
        <f aca="false">IFERROR(INDEX(CAPABILITIES!$G$7:$G$15,MATCH(PLAY!$F23,CAPABILITIES!$A$7:$A$15,0)),0)</f>
        <v>0</v>
      </c>
      <c r="S23" s="13" t="n">
        <f aca="false">IFERROR(INDEX(CAPABILITIES!$H$7:$H$15,MATCH(PLAY!$F23,CAPABILITIES!$A$7:$A$15,0)),"")</f>
        <v>0</v>
      </c>
      <c r="T23" s="13" t="n">
        <f aca="false">IFERROR(INDEX(CAPABILITIES!$D$7:$D$15,MATCH(PLAY!$F23,CAPABILITIES!$A$7:$A$15,0))*INDEX(CAPABILITIES!$I$7:$I$15,MATCH(PLAY!$F23,CAPABILITIES!$A$7:$A$15,0)),0)</f>
        <v>0</v>
      </c>
      <c r="U23" s="13" t="n">
        <f aca="false">IFERROR(INDEX(CAPABILITIES!$E$7:$E$15,MATCH(PLAY!$F23,CAPABILITIES!$A$7:$A$15,0))+INDEX(CAPABILITIES!$J$7:$J$15,MATCH(PLAY!$F23,CAPABILITIES!$A$7:$A$15,0)),0)</f>
        <v>0</v>
      </c>
      <c r="V23" s="13" t="n">
        <f aca="false">IFERROR(INDEX(CAPABILITIES!$L$7:$L$15,MATCH(PLAY!$F23,CAPABILITIES!$A$7:$A$15,0)),0)</f>
        <v>0</v>
      </c>
      <c r="W23" s="28" t="n">
        <f aca="false">CLIMATE!D23+SUMPRODUCT(($D$8:$D$22="ENSO")*($F$8:$F$22+$A$8:$A$22=$A23)*$E$8:$E$22)+SUMPRODUCT(($I$8:$I$22="ENSO")*($K$8:$K$22+$A$8:$A$22=$A23)*$J$8:$J$22)+SUMPRODUCT(($N$8:$N$22="ENSO")*($P$8:$P$22+$A$8:$A$22=$A23)*$O$8:$O$22)+SUMPRODUCT(($S$8:$S$22="ENSO")*($U$8:$U$22+$A$8:$A$22=$A23)*$T$8:$T$22)</f>
        <v>1.207</v>
      </c>
      <c r="X23" s="28" t="n">
        <f aca="false">CLIMATE!E23+SUMPRODUCT(($D$8:$D$22="IOD")*($F$8:$F$22+$A$8:$A$22=$A23)*$E$8:$E$22)+SUMPRODUCT(($I$8:$I$22="IOD")*($K$8:$K$22+$A$8:$A$22=$A23)*$J$8:$J$22)+SUMPRODUCT(($N$8:$N$22="IOD")*($P$8:$P$22+$A$8:$A$22=$A23)*$O$8:$O$22)+SUMPRODUCT(($S$8:$S$22="IOD")*($U$8:$U$22+$A$8:$A$22=$A23)*$T$8:$T$22)</f>
        <v>0.379</v>
      </c>
      <c r="Y23" s="28" t="n">
        <f aca="false">CLIMATE!F23+SUMPRODUCT(($D$8:$D$22="NATL")*($F$8:$F$22+$A$8:$A$22=$A23)*$E$8:$E$22)+SUMPRODUCT(($I$8:$I$22="NATL")*($K$8:$K$22+$A$8:$A$22=$A23)*$J$8:$J$22)+SUMPRODUCT(($N$8:$N$22="NATL")*($P$8:$P$22+$A$8:$A$22=$A23)*$O$8:$O$22)+SUMPRODUCT(($S$8:$S$22="NATL")*($U$8:$U$22+$A$8:$A$22=$A23)*$T$8:$T$22)</f>
        <v>-0.075</v>
      </c>
      <c r="Z23" s="28" t="n">
        <f aca="false">CLIMATE!G23+SUMPRODUCT(($D$8:$D$22="GLOBAL")*($F$8:$F$22+$A$8:$A$22=$A23)*$E$8:$E$22)+SUMPRODUCT(($I$8:$I$22="GLOBAL")*($K$8:$K$22+$A$8:$A$22=$A23)*$J$8:$J$22)+SUMPRODUCT(($N$8:$N$22="GLOBAL")*($P$8:$P$22+$A$8:$A$22=$A23)*$O$8:$O$22)+SUMPRODUCT(($S$8:$S$22="GLOBAL")*($U$8:$U$22+$A$8:$A$22=$A23)*$T$8:$T$22)</f>
        <v>0</v>
      </c>
      <c r="AA23" s="28" t="n">
        <f aca="false">CLIMATE!H23+IFERROR(INDEX($W$8:$W$47,$A23-GRAPH!B17),0)*GRAPH!B9+IFERROR(INDEX($X$8:$X$47,$A23-GRAPH!B18),0)*GRAPH!B10+IFERROR(INDEX($Y$8:$Y$47,$A23-GRAPH!B19),0)*GRAPH!B11+IFERROR(INDEX($Z$8:$Z$47,$A23-GRAPH!B20),0)*GRAPH!B12+SUMPRODUCT(($D$8:$D$22=REGIONS!$B$7)*($F$8:$F$22+$A$8:$A$22=$A23)*$E$8:$E$22)+SUMPRODUCT(($N$8:$N$22=REGIONS!$B$7)*($P$8:$P$22+$A$8:$A$22=$A23)*$O$8:$O$22)</f>
        <v>0.0801</v>
      </c>
      <c r="AB23" s="28" t="n">
        <f aca="false">CLIMATE!I23+IFERROR(INDEX($W$8:$W$47,$A23-GRAPH!C17),0)*GRAPH!C9+IFERROR(INDEX($X$8:$X$47,$A23-GRAPH!C18),0)*GRAPH!C10+IFERROR(INDEX($Y$8:$Y$47,$A23-GRAPH!C19),0)*GRAPH!C11+IFERROR(INDEX($Z$8:$Z$47,$A23-GRAPH!C20),0)*GRAPH!C12+SUMPRODUCT(($D$8:$D$22=REGIONS!$B$8)*($F$8:$F$22+$A$8:$A$22=$A23)*$E$8:$E$22)+SUMPRODUCT(($N$8:$N$22=REGIONS!$B$8)*($P$8:$P$22+$A$8:$A$22=$A23)*$O$8:$O$22)</f>
        <v>0.1302</v>
      </c>
      <c r="AC23" s="28" t="n">
        <f aca="false">CLIMATE!J23+IFERROR(INDEX($W$8:$W$47,$A23-GRAPH!D17),0)*GRAPH!D9+IFERROR(INDEX($X$8:$X$47,$A23-GRAPH!D18),0)*GRAPH!D10+IFERROR(INDEX($Y$8:$Y$47,$A23-GRAPH!D19),0)*GRAPH!D11+IFERROR(INDEX($Z$8:$Z$47,$A23-GRAPH!D20),0)*GRAPH!D12+SUMPRODUCT(($D$8:$D$22=REGIONS!$B$9)*($F$8:$F$22+$A$8:$A$22=$A23)*$E$8:$E$22)+SUMPRODUCT(($N$8:$N$22=REGIONS!$B$9)*($P$8:$P$22+$A$8:$A$22=$A23)*$O$8:$O$22)</f>
        <v>-0.073</v>
      </c>
      <c r="AD23" s="28" t="n">
        <f aca="false">CLIMATE!K23+IFERROR(INDEX($W$8:$W$47,$A23-GRAPH!E17),0)*GRAPH!E9+IFERROR(INDEX($X$8:$X$47,$A23-GRAPH!E18),0)*GRAPH!E10+IFERROR(INDEX($Y$8:$Y$47,$A23-GRAPH!E19),0)*GRAPH!E11+IFERROR(INDEX($Z$8:$Z$47,$A23-GRAPH!E20),0)*GRAPH!E12+SUMPRODUCT(($D$8:$D$22=REGIONS!$B$10)*($F$8:$F$22+$A$8:$A$22=$A23)*$E$8:$E$22)+SUMPRODUCT(($N$8:$N$22=REGIONS!$B$10)*($P$8:$P$22+$A$8:$A$22=$A23)*$O$8:$O$22)</f>
        <v>-0.7845</v>
      </c>
      <c r="AE23" s="28" t="n">
        <f aca="false">CLIMATE!L23+IFERROR(INDEX($W$8:$W$47,$A23-GRAPH!F17),0)*GRAPH!F9+IFERROR(INDEX($X$8:$X$47,$A23-GRAPH!F18),0)*GRAPH!F10+IFERROR(INDEX($Y$8:$Y$47,$A23-GRAPH!F19),0)*GRAPH!F11+IFERROR(INDEX($Z$8:$Z$47,$A23-GRAPH!F20),0)*GRAPH!F12+SUMPRODUCT(($D$8:$D$22=REGIONS!$B$11)*($F$8:$F$22+$A$8:$A$22=$A23)*$E$8:$E$22)+SUMPRODUCT(($N$8:$N$22=REGIONS!$B$11)*($P$8:$P$22+$A$8:$A$22=$A23)*$O$8:$O$22)</f>
        <v>-0.4256</v>
      </c>
      <c r="AF23" s="28" t="n">
        <f aca="false">CLIMATE!M23+IFERROR(INDEX($W$8:$W$47,$A23-GRAPH!G17),0)*GRAPH!G9+IFERROR(INDEX($X$8:$X$47,$A23-GRAPH!G18),0)*GRAPH!G10+IFERROR(INDEX($Y$8:$Y$47,$A23-GRAPH!G19),0)*GRAPH!G11+IFERROR(INDEX($Z$8:$Z$47,$A23-GRAPH!G20),0)*GRAPH!G12+SUMPRODUCT(($D$8:$D$22=REGIONS!$B$12)*($F$8:$F$22+$A$8:$A$22=$A23)*$E$8:$E$22)+SUMPRODUCT(($N$8:$N$22=REGIONS!$B$12)*($P$8:$P$22+$A$8:$A$22=$A23)*$O$8:$O$22)</f>
        <v>-0.5964</v>
      </c>
      <c r="AG23" s="28" t="n">
        <f aca="false">CLIMATE!N23+IFERROR(INDEX($W$8:$W$47,$A23-GRAPH!H17),0)*GRAPH!H9+IFERROR(INDEX($X$8:$X$47,$A23-GRAPH!H18),0)*GRAPH!H10+IFERROR(INDEX($Y$8:$Y$47,$A23-GRAPH!H19),0)*GRAPH!H11+IFERROR(INDEX($Z$8:$Z$47,$A23-GRAPH!H20),0)*GRAPH!H12+SUMPRODUCT(($D$8:$D$22=REGIONS!$B$13)*($F$8:$F$22+$A$8:$A$22=$A23)*$E$8:$E$22)+SUMPRODUCT(($N$8:$N$22=REGIONS!$B$13)*($P$8:$P$22+$A$8:$A$22=$A23)*$O$8:$O$22)</f>
        <v>-0.5283</v>
      </c>
      <c r="AH23" s="28" t="n">
        <f aca="false">CLIMATE!O23+IFERROR(INDEX($W$8:$W$47,$A23-GRAPH!I17),0)*GRAPH!I9+IFERROR(INDEX($X$8:$X$47,$A23-GRAPH!I18),0)*GRAPH!I10+IFERROR(INDEX($Y$8:$Y$47,$A23-GRAPH!I19),0)*GRAPH!I11+IFERROR(INDEX($Z$8:$Z$47,$A23-GRAPH!I20),0)*GRAPH!I12+SUMPRODUCT(($D$8:$D$22=REGIONS!$B$14)*($F$8:$F$22+$A$8:$A$22=$A23)*$E$8:$E$22)+SUMPRODUCT(($N$8:$N$22=REGIONS!$B$14)*($P$8:$P$22+$A$8:$A$22=$A23)*$O$8:$O$22)</f>
        <v>0.045</v>
      </c>
      <c r="AI23" s="28" t="n">
        <f aca="false">REGIONS!$F$7*(1+ASSUMPTIONS!$B$19*$A23)</f>
        <v>0.8768</v>
      </c>
      <c r="AJ23" s="28" t="n">
        <f aca="false">REGIONS!$F$8*(1+ASSUMPTIONS!$B$19*$A23)</f>
        <v>0.9864</v>
      </c>
      <c r="AK23" s="28" t="n">
        <f aca="false">REGIONS!$F$9*(1+ASSUMPTIONS!$B$19*$A23)</f>
        <v>0.9864</v>
      </c>
      <c r="AL23" s="28" t="n">
        <f aca="false">REGIONS!$F$10*(1+ASSUMPTIONS!$B$19*$A23)</f>
        <v>0.7672</v>
      </c>
      <c r="AM23" s="28" t="n">
        <f aca="false">REGIONS!$F$11*(1+ASSUMPTIONS!$B$19*$A23)</f>
        <v>0.7672</v>
      </c>
      <c r="AN23" s="28" t="n">
        <f aca="false">REGIONS!$F$12*(1+ASSUMPTIONS!$B$19*$A23)</f>
        <v>1.2056</v>
      </c>
      <c r="AO23" s="28" t="n">
        <f aca="false">REGIONS!$F$13*(1+ASSUMPTIONS!$B$19*$A23)</f>
        <v>1.3152</v>
      </c>
      <c r="AP23" s="28" t="n">
        <f aca="false">REGIONS!$F$14*(1+ASSUMPTIONS!$B$19*$A23)</f>
        <v>1.3152</v>
      </c>
      <c r="AQ23" s="11" t="n">
        <f aca="false">SUMPRODUCT(($D$8:$D$47=REGIONS!$B$7)*($A$8:$A$47&lt;=$A23)*$L$8:$L$47)+SUMPRODUCT(($N$8:$N$47=REGIONS!$B$7)*($A$8:$A$47&lt;=$A23)*$V$8:$V$47)</f>
        <v>0</v>
      </c>
      <c r="AR23" s="11" t="n">
        <f aca="false">SUMPRODUCT(($D$8:$D$47=REGIONS!$B$8)*($A$8:$A$47&lt;=$A23)*$L$8:$L$47)+SUMPRODUCT(($N$8:$N$47=REGIONS!$B$8)*($A$8:$A$47&lt;=$A23)*$V$8:$V$47)</f>
        <v>0</v>
      </c>
      <c r="AS23" s="11" t="n">
        <f aca="false">SUMPRODUCT(($D$8:$D$47=REGIONS!$B$9)*($A$8:$A$47&lt;=$A23)*$L$8:$L$47)+SUMPRODUCT(($N$8:$N$47=REGIONS!$B$9)*($A$8:$A$47&lt;=$A23)*$V$8:$V$47)</f>
        <v>0</v>
      </c>
      <c r="AT23" s="11" t="n">
        <f aca="false">SUMPRODUCT(($D$8:$D$47=REGIONS!$B$10)*($A$8:$A$47&lt;=$A23)*$L$8:$L$47)+SUMPRODUCT(($N$8:$N$47=REGIONS!$B$10)*($A$8:$A$47&lt;=$A23)*$V$8:$V$47)</f>
        <v>0</v>
      </c>
      <c r="AU23" s="11" t="n">
        <f aca="false">SUMPRODUCT(($D$8:$D$47=REGIONS!$B$11)*($A$8:$A$47&lt;=$A23)*$L$8:$L$47)+SUMPRODUCT(($N$8:$N$47=REGIONS!$B$11)*($A$8:$A$47&lt;=$A23)*$V$8:$V$47)</f>
        <v>0</v>
      </c>
      <c r="AV23" s="11" t="n">
        <f aca="false">SUMPRODUCT(($D$8:$D$47=REGIONS!$B$12)*($A$8:$A$47&lt;=$A23)*$L$8:$L$47)+SUMPRODUCT(($N$8:$N$47=REGIONS!$B$12)*($A$8:$A$47&lt;=$A23)*$V$8:$V$47)</f>
        <v>0</v>
      </c>
      <c r="AW23" s="11" t="n">
        <f aca="false">SUMPRODUCT(($D$8:$D$47=REGIONS!$B$13)*($A$8:$A$47&lt;=$A23)*$L$8:$L$47)+SUMPRODUCT(($N$8:$N$47=REGIONS!$B$13)*($A$8:$A$47&lt;=$A23)*$V$8:$V$47)</f>
        <v>0</v>
      </c>
      <c r="AX23" s="11" t="n">
        <f aca="false">SUMPRODUCT(($D$8:$D$47=REGIONS!$B$14)*($A$8:$A$47&lt;=$A23)*$L$8:$L$47)+SUMPRODUCT(($N$8:$N$47=REGIONS!$B$14)*($A$8:$A$47&lt;=$A23)*$V$8:$V$47)</f>
        <v>0</v>
      </c>
      <c r="AY23" s="12" t="n">
        <f aca="false">MAX(0,MIN(135,100-(MAX(0,-$AA23)*REGIONS!$E$7*ASSUMPTIONS!$B$7+MAX(0,$AA23-ASSUMPTIONS!$B$9)*REGIONS!$E$7*ASSUMPTIONS!$B$8)*(1-$AQ23/100)))</f>
        <v>100</v>
      </c>
      <c r="AZ23" s="12" t="n">
        <f aca="false">MAX(0,MIN(135,100-(MAX(0,-$AB23)*REGIONS!$E$8*ASSUMPTIONS!$B$7+MAX(0,$AB23-ASSUMPTIONS!$B$9)*REGIONS!$E$8*ASSUMPTIONS!$B$8)*(1-$AR23/100)))</f>
        <v>100</v>
      </c>
      <c r="BA23" s="12" t="n">
        <f aca="false">MAX(0,MIN(135,100-(MAX(0,-$AC23)*REGIONS!$E$9*ASSUMPTIONS!$B$7+MAX(0,$AC23-ASSUMPTIONS!$B$9)*REGIONS!$E$9*ASSUMPTIONS!$B$8)*(1-$AS23/100)))</f>
        <v>98.978</v>
      </c>
      <c r="BB23" s="12" t="n">
        <f aca="false">MAX(0,MIN(135,100-(MAX(0,-$AD23)*REGIONS!$E$10*ASSUMPTIONS!$B$7+MAX(0,$AD23-ASSUMPTIONS!$B$9)*REGIONS!$E$10*ASSUMPTIONS!$B$8)*(1-$AT23/100)))</f>
        <v>86.8204</v>
      </c>
      <c r="BC23" s="12" t="n">
        <f aca="false">MAX(0,MIN(135,100-(MAX(0,-$AE23)*REGIONS!$E$11*ASSUMPTIONS!$B$7+MAX(0,$AE23-ASSUMPTIONS!$B$9)*REGIONS!$E$11*ASSUMPTIONS!$B$8)*(1-$AU23/100)))</f>
        <v>93.44576</v>
      </c>
      <c r="BD23" s="12" t="n">
        <f aca="false">MAX(0,MIN(135,100-(MAX(0,-$AF23)*REGIONS!$E$12*ASSUMPTIONS!$B$7+MAX(0,$AF23-ASSUMPTIONS!$B$9)*REGIONS!$E$12*ASSUMPTIONS!$B$8)*(1-$AV23/100)))</f>
        <v>89.14552</v>
      </c>
      <c r="BE23" s="12" t="n">
        <f aca="false">MAX(0,MIN(135,100-(MAX(0,-$AG23)*REGIONS!$E$13*ASSUMPTIONS!$B$7+MAX(0,$AG23-ASSUMPTIONS!$B$9)*REGIONS!$E$13*ASSUMPTIONS!$B$8)*(1-$AW23/100)))</f>
        <v>89.64532</v>
      </c>
      <c r="BF23" s="12" t="n">
        <f aca="false">MAX(0,MIN(135,100-(MAX(0,-$AH23)*REGIONS!$E$14*ASSUMPTIONS!$B$7+MAX(0,$AH23-ASSUMPTIONS!$B$9)*REGIONS!$E$14*ASSUMPTIONS!$B$8)*(1-$AX23/100)))</f>
        <v>100</v>
      </c>
      <c r="BG23" s="12" t="n">
        <f aca="false">$AY23*REGIONS!$D$7/100+$AZ23*REGIONS!$D$8/100+$BA23*REGIONS!$D$9/100+$BB23*REGIONS!$D$10/100+$BC23*REGIONS!$D$11/100+$BD23*REGIONS!$D$12/100+$BE23*REGIONS!$D$13/100+$BF23*REGIONS!$D$14/100</f>
        <v>95.3067688</v>
      </c>
      <c r="BH23" s="12" t="n">
        <f aca="false">100*(100/MAX(1,$BG23))^ASSUMPTIONS!$B$10</f>
        <v>109.037844465247</v>
      </c>
      <c r="BI23" s="12" t="n">
        <f aca="false">$AY23*$BH23/100*ASSUMPTIONS!$B$11</f>
        <v>92.6821677954596</v>
      </c>
      <c r="BJ23" s="28" t="n">
        <f aca="false">MAX(0,ABS($AA23)-$AI23*ASSUMPTIONS!$B$24)*REGIONS!$D$7/100+MAX(0,ABS($AB23)-$AJ23*ASSUMPTIONS!$B$24)*REGIONS!$D$8/100+MAX(0,ABS($AC23)-$AK23*ASSUMPTIONS!$B$24)*REGIONS!$D$9/100+MAX(0,ABS($AD23)-$AL23*ASSUMPTIONS!$B$24)*REGIONS!$D$10/100+MAX(0,ABS($AE23)-$AM23*ASSUMPTIONS!$B$24)*REGIONS!$D$11/100+MAX(0,ABS($AF23)-$AN23*ASSUMPTIONS!$B$24)*REGIONS!$D$12/100+MAX(0,ABS($AG23)-$AO23*ASSUMPTIONS!$B$24)*REGIONS!$D$13/100+MAX(0,ABS($AH23)-$AP23*ASSUMPTIONS!$B$24)*REGIONS!$D$14/100</f>
        <v>0.037638</v>
      </c>
      <c r="BK23" s="12" t="n">
        <f aca="false">MIN(ASSUMPTIONS!$B$14,ASSUMPTIONS!$B$12+$BJ23*ASSUMPTIONS!$B$13)</f>
        <v>29.580796</v>
      </c>
      <c r="BL23" s="11" t="n">
        <f aca="false">$H23+$R23</f>
        <v>0</v>
      </c>
      <c r="BM23" s="11" t="n">
        <f aca="false">PLAY!$H23</f>
        <v>0</v>
      </c>
      <c r="BN23" s="12" t="n">
        <f aca="false">$BI23*ASSUMPTIONS!$B$15+$BK23*ASSUMPTIONS!$B$16</f>
        <v>37.7445765354552</v>
      </c>
      <c r="BO23" s="12" t="n">
        <f aca="false">$BO22+$BN23-$BL23-$BM23-ASSUMPTIONS!$B$23</f>
        <v>176.005529922944</v>
      </c>
      <c r="BP23" s="12" t="n">
        <f aca="false">(SUMPRODUCT(($F$8:$F$22+$A$8:$A$22=$A23)*($C$8:$C$22&lt;&gt;"NONE")*$G$8:$G$22)+SUMPRODUCT(($P$8:$P$22+$A$8:$A$22=$A23)*($M$8:$M$22&lt;&gt;"NONE")*$Q$8:$Q$22))*(1+ASSUMPTIONS!$B$22*(MAX(0,ABS($AA23)/$AI23-1)+MAX(0,ABS($AB23)/$AJ23-1)+MAX(0,ABS($AC23)/$AK23-1)+MAX(0,ABS($AD23)/$AL23-1)+MAX(0,ABS($AE23)/$AM23-1)+MAX(0,ABS($AF23)/$AN23-1)+MAX(0,ABS($AG23)/$AO23-1)+MAX(0,ABS($AH23)/$AP23-1))/8)</f>
        <v>0</v>
      </c>
      <c r="BQ23" s="12" t="n">
        <f aca="false">MAX(0,$BQ22*(1-ASSUMPTIONS!$B$18)+$BP23-$BM23*ASSUMPTIONS!$B$17)</f>
        <v>1.19260630641689</v>
      </c>
    </row>
    <row r="24" customFormat="false" ht="15" hidden="false" customHeight="false" outlineLevel="0" collapsed="false">
      <c r="A24" s="13" t="n">
        <v>17</v>
      </c>
      <c r="B24" s="11" t="n">
        <f aca="false">CLIMATE!B24</f>
        <v>1950</v>
      </c>
      <c r="C24" s="13" t="str">
        <f aca="false">IFERROR(INDEX(CAPABILITIES!$B$7:$B$15,MATCH(PLAY!$D24,CAPABILITIES!$A$7:$A$15,0)),"NONE")</f>
        <v>NONE</v>
      </c>
      <c r="D24" s="13" t="n">
        <f aca="false">IFERROR(IF(INDEX(CAPABILITIES!$B$7:$B$15,MATCH(PLAY!$D24,CAPABILITIES!$A$7:$A$15,0))="DRIVER",INDEX(CAPABILITIES!$C$7:$C$15,MATCH(PLAY!$D24,CAPABILITIES!$A$7:$A$15,0)),PLAY!$E24),"")</f>
        <v>0</v>
      </c>
      <c r="E24" s="13" t="n">
        <f aca="false">IFERROR(INDEX(CAPABILITIES!$D$7:$D$15,MATCH(PLAY!$D24,CAPABILITIES!$A$7:$A$15,0))*IF(INDEX(CAPABILITIES!$K$7:$K$15,MATCH(PLAY!$D24,CAPABILITIES!$A$7:$A$15,0))="Y",IF(IFERROR(INDEX($AA23:$AH23,MATCH(PLAY!$E24,REGIONS!$B$7:$B$14,0)),0)&lt;ASSUMPTIONS!$B$20,1,ASSUMPTIONS!$B$21),1),0)</f>
        <v>0</v>
      </c>
      <c r="F24" s="13" t="n">
        <f aca="false">IFERROR(INDEX(CAPABILITIES!$E$7:$E$15,MATCH(PLAY!$D24,CAPABILITIES!$A$7:$A$15,0)),0)</f>
        <v>0</v>
      </c>
      <c r="G24" s="13" t="n">
        <f aca="false">IFERROR(INDEX(CAPABILITIES!$F$7:$F$15,MATCH(PLAY!$D24,CAPABILITIES!$A$7:$A$15,0)),0)</f>
        <v>0</v>
      </c>
      <c r="H24" s="13" t="n">
        <f aca="false">IFERROR(INDEX(CAPABILITIES!$G$7:$G$15,MATCH(PLAY!$D24,CAPABILITIES!$A$7:$A$15,0)),0)</f>
        <v>0</v>
      </c>
      <c r="I24" s="13" t="n">
        <f aca="false">IFERROR(INDEX(CAPABILITIES!$H$7:$H$15,MATCH(PLAY!$D24,CAPABILITIES!$A$7:$A$15,0)),"")</f>
        <v>0</v>
      </c>
      <c r="J24" s="13" t="n">
        <f aca="false">IFERROR(INDEX(CAPABILITIES!$D$7:$D$15,MATCH(PLAY!$D24,CAPABILITIES!$A$7:$A$15,0))*INDEX(CAPABILITIES!$I$7:$I$15,MATCH(PLAY!$D24,CAPABILITIES!$A$7:$A$15,0)),0)</f>
        <v>0</v>
      </c>
      <c r="K24" s="13" t="n">
        <f aca="false">IFERROR(INDEX(CAPABILITIES!$E$7:$E$15,MATCH(PLAY!$D24,CAPABILITIES!$A$7:$A$15,0))+INDEX(CAPABILITIES!$J$7:$J$15,MATCH(PLAY!$D24,CAPABILITIES!$A$7:$A$15,0)),0)</f>
        <v>0</v>
      </c>
      <c r="L24" s="13" t="n">
        <f aca="false">IFERROR(INDEX(CAPABILITIES!$L$7:$L$15,MATCH(PLAY!$D24,CAPABILITIES!$A$7:$A$15,0)),0)</f>
        <v>0</v>
      </c>
      <c r="M24" s="13" t="str">
        <f aca="false">IFERROR(INDEX(CAPABILITIES!$B$7:$B$15,MATCH(PLAY!$F24,CAPABILITIES!$A$7:$A$15,0)),"NONE")</f>
        <v>NONE</v>
      </c>
      <c r="N24" s="13" t="n">
        <f aca="false">IFERROR(IF(INDEX(CAPABILITIES!$B$7:$B$15,MATCH(PLAY!$F24,CAPABILITIES!$A$7:$A$15,0))="DRIVER",INDEX(CAPABILITIES!$C$7:$C$15,MATCH(PLAY!$F24,CAPABILITIES!$A$7:$A$15,0)),PLAY!$G24),"")</f>
        <v>0</v>
      </c>
      <c r="O24" s="13" t="n">
        <f aca="false">IFERROR(INDEX(CAPABILITIES!$D$7:$D$15,MATCH(PLAY!$F24,CAPABILITIES!$A$7:$A$15,0))*IF(INDEX(CAPABILITIES!$K$7:$K$15,MATCH(PLAY!$F24,CAPABILITIES!$A$7:$A$15,0))="Y",IF(IFERROR(INDEX($AA23:$AH23,MATCH(PLAY!$G24,REGIONS!$B$7:$B$14,0)),0)&lt;ASSUMPTIONS!$B$20,1,ASSUMPTIONS!$B$21),1),0)</f>
        <v>0</v>
      </c>
      <c r="P24" s="13" t="n">
        <f aca="false">IFERROR(INDEX(CAPABILITIES!$E$7:$E$15,MATCH(PLAY!$F24,CAPABILITIES!$A$7:$A$15,0)),0)</f>
        <v>0</v>
      </c>
      <c r="Q24" s="13" t="n">
        <f aca="false">IFERROR(INDEX(CAPABILITIES!$F$7:$F$15,MATCH(PLAY!$F24,CAPABILITIES!$A$7:$A$15,0)),0)</f>
        <v>0</v>
      </c>
      <c r="R24" s="13" t="n">
        <f aca="false">IFERROR(INDEX(CAPABILITIES!$G$7:$G$15,MATCH(PLAY!$F24,CAPABILITIES!$A$7:$A$15,0)),0)</f>
        <v>0</v>
      </c>
      <c r="S24" s="13" t="n">
        <f aca="false">IFERROR(INDEX(CAPABILITIES!$H$7:$H$15,MATCH(PLAY!$F24,CAPABILITIES!$A$7:$A$15,0)),"")</f>
        <v>0</v>
      </c>
      <c r="T24" s="13" t="n">
        <f aca="false">IFERROR(INDEX(CAPABILITIES!$D$7:$D$15,MATCH(PLAY!$F24,CAPABILITIES!$A$7:$A$15,0))*INDEX(CAPABILITIES!$I$7:$I$15,MATCH(PLAY!$F24,CAPABILITIES!$A$7:$A$15,0)),0)</f>
        <v>0</v>
      </c>
      <c r="U24" s="13" t="n">
        <f aca="false">IFERROR(INDEX(CAPABILITIES!$E$7:$E$15,MATCH(PLAY!$F24,CAPABILITIES!$A$7:$A$15,0))+INDEX(CAPABILITIES!$J$7:$J$15,MATCH(PLAY!$F24,CAPABILITIES!$A$7:$A$15,0)),0)</f>
        <v>0</v>
      </c>
      <c r="V24" s="13" t="n">
        <f aca="false">IFERROR(INDEX(CAPABILITIES!$L$7:$L$15,MATCH(PLAY!$F24,CAPABILITIES!$A$7:$A$15,0)),0)</f>
        <v>0</v>
      </c>
      <c r="W24" s="28" t="n">
        <f aca="false">CLIMATE!D24+SUMPRODUCT(($D$8:$D$23="ENSO")*($F$8:$F$23+$A$8:$A$23=$A24)*$E$8:$E$23)+SUMPRODUCT(($I$8:$I$23="ENSO")*($K$8:$K$23+$A$8:$A$23=$A24)*$J$8:$J$23)+SUMPRODUCT(($N$8:$N$23="ENSO")*($P$8:$P$23+$A$8:$A$23=$A24)*$O$8:$O$23)+SUMPRODUCT(($S$8:$S$23="ENSO")*($U$8:$U$23+$A$8:$A$23=$A24)*$T$8:$T$23)</f>
        <v>1.255</v>
      </c>
      <c r="X24" s="28" t="n">
        <f aca="false">CLIMATE!E24+SUMPRODUCT(($D$8:$D$23="IOD")*($F$8:$F$23+$A$8:$A$23=$A24)*$E$8:$E$23)+SUMPRODUCT(($I$8:$I$23="IOD")*($K$8:$K$23+$A$8:$A$23=$A24)*$J$8:$J$23)+SUMPRODUCT(($N$8:$N$23="IOD")*($P$8:$P$23+$A$8:$A$23=$A24)*$O$8:$O$23)+SUMPRODUCT(($S$8:$S$23="IOD")*($U$8:$U$23+$A$8:$A$23=$A24)*$T$8:$T$23)</f>
        <v>0.823</v>
      </c>
      <c r="Y24" s="28" t="n">
        <f aca="false">CLIMATE!F24+SUMPRODUCT(($D$8:$D$23="NATL")*($F$8:$F$23+$A$8:$A$23=$A24)*$E$8:$E$23)+SUMPRODUCT(($I$8:$I$23="NATL")*($K$8:$K$23+$A$8:$A$23=$A24)*$J$8:$J$23)+SUMPRODUCT(($N$8:$N$23="NATL")*($P$8:$P$23+$A$8:$A$23=$A24)*$O$8:$O$23)+SUMPRODUCT(($S$8:$S$23="NATL")*($U$8:$U$23+$A$8:$A$23=$A24)*$T$8:$T$23)</f>
        <v>-0.38</v>
      </c>
      <c r="Z24" s="28" t="n">
        <f aca="false">CLIMATE!G24+SUMPRODUCT(($D$8:$D$23="GLOBAL")*($F$8:$F$23+$A$8:$A$23=$A24)*$E$8:$E$23)+SUMPRODUCT(($I$8:$I$23="GLOBAL")*($K$8:$K$23+$A$8:$A$23=$A24)*$J$8:$J$23)+SUMPRODUCT(($N$8:$N$23="GLOBAL")*($P$8:$P$23+$A$8:$A$23=$A24)*$O$8:$O$23)+SUMPRODUCT(($S$8:$S$23="GLOBAL")*($U$8:$U$23+$A$8:$A$23=$A24)*$T$8:$T$23)</f>
        <v>0</v>
      </c>
      <c r="AA24" s="28" t="n">
        <f aca="false">CLIMATE!H24+IFERROR(INDEX($W$8:$W$47,$A24-GRAPH!B17),0)*GRAPH!B9+IFERROR(INDEX($X$8:$X$47,$A24-GRAPH!B18),0)*GRAPH!B10+IFERROR(INDEX($Y$8:$Y$47,$A24-GRAPH!B19),0)*GRAPH!B11+IFERROR(INDEX($Z$8:$Z$47,$A24-GRAPH!B20),0)*GRAPH!B12+SUMPRODUCT(($D$8:$D$23=REGIONS!$B$7)*($F$8:$F$23+$A$8:$A$23=$A24)*$E$8:$E$23)+SUMPRODUCT(($N$8:$N$23=REGIONS!$B$7)*($P$8:$P$23+$A$8:$A$23=$A24)*$O$8:$O$23)</f>
        <v>0.5134</v>
      </c>
      <c r="AB24" s="28" t="n">
        <f aca="false">CLIMATE!I24+IFERROR(INDEX($W$8:$W$47,$A24-GRAPH!C17),0)*GRAPH!C9+IFERROR(INDEX($X$8:$X$47,$A24-GRAPH!C18),0)*GRAPH!C10+IFERROR(INDEX($Y$8:$Y$47,$A24-GRAPH!C19),0)*GRAPH!C11+IFERROR(INDEX($Z$8:$Z$47,$A24-GRAPH!C20),0)*GRAPH!C12+SUMPRODUCT(($D$8:$D$23=REGIONS!$B$8)*($F$8:$F$23+$A$8:$A$23=$A24)*$E$8:$E$23)+SUMPRODUCT(($N$8:$N$23=REGIONS!$B$8)*($P$8:$P$23+$A$8:$A$23=$A24)*$O$8:$O$23)</f>
        <v>0.3226</v>
      </c>
      <c r="AC24" s="28" t="n">
        <f aca="false">CLIMATE!J24+IFERROR(INDEX($W$8:$W$47,$A24-GRAPH!D17),0)*GRAPH!D9+IFERROR(INDEX($X$8:$X$47,$A24-GRAPH!D18),0)*GRAPH!D10+IFERROR(INDEX($Y$8:$Y$47,$A24-GRAPH!D19),0)*GRAPH!D11+IFERROR(INDEX($Z$8:$Z$47,$A24-GRAPH!D20),0)*GRAPH!D12+SUMPRODUCT(($D$8:$D$23=REGIONS!$B$9)*($F$8:$F$23+$A$8:$A$23=$A24)*$E$8:$E$23)+SUMPRODUCT(($N$8:$N$23=REGIONS!$B$9)*($P$8:$P$23+$A$8:$A$23=$A24)*$O$8:$O$23)</f>
        <v>0.041</v>
      </c>
      <c r="AD24" s="28" t="n">
        <f aca="false">CLIMATE!K24+IFERROR(INDEX($W$8:$W$47,$A24-GRAPH!E17),0)*GRAPH!E9+IFERROR(INDEX($X$8:$X$47,$A24-GRAPH!E18),0)*GRAPH!E10+IFERROR(INDEX($Y$8:$Y$47,$A24-GRAPH!E19),0)*GRAPH!E11+IFERROR(INDEX($Z$8:$Z$47,$A24-GRAPH!E20),0)*GRAPH!E12+SUMPRODUCT(($D$8:$D$23=REGIONS!$B$10)*($F$8:$F$23+$A$8:$A$23=$A24)*$E$8:$E$23)+SUMPRODUCT(($N$8:$N$23=REGIONS!$B$10)*($P$8:$P$23+$A$8:$A$23=$A24)*$O$8:$O$23)</f>
        <v>-0.8608</v>
      </c>
      <c r="AE24" s="28" t="n">
        <f aca="false">CLIMATE!L24+IFERROR(INDEX($W$8:$W$47,$A24-GRAPH!F17),0)*GRAPH!F9+IFERROR(INDEX($X$8:$X$47,$A24-GRAPH!F18),0)*GRAPH!F10+IFERROR(INDEX($Y$8:$Y$47,$A24-GRAPH!F19),0)*GRAPH!F11+IFERROR(INDEX($Z$8:$Z$47,$A24-GRAPH!F20),0)*GRAPH!F12+SUMPRODUCT(($D$8:$D$23=REGIONS!$B$11)*($F$8:$F$23+$A$8:$A$23=$A24)*$E$8:$E$23)+SUMPRODUCT(($N$8:$N$23=REGIONS!$B$11)*($P$8:$P$23+$A$8:$A$23=$A24)*$O$8:$O$23)</f>
        <v>-1.1467</v>
      </c>
      <c r="AF24" s="28" t="n">
        <f aca="false">CLIMATE!M24+IFERROR(INDEX($W$8:$W$47,$A24-GRAPH!G17),0)*GRAPH!G9+IFERROR(INDEX($X$8:$X$47,$A24-GRAPH!G18),0)*GRAPH!G10+IFERROR(INDEX($Y$8:$Y$47,$A24-GRAPH!G19),0)*GRAPH!G11+IFERROR(INDEX($Z$8:$Z$47,$A24-GRAPH!G20),0)*GRAPH!G12+SUMPRODUCT(($D$8:$D$23=REGIONS!$B$12)*($F$8:$F$23+$A$8:$A$23=$A24)*$E$8:$E$23)+SUMPRODUCT(($N$8:$N$23=REGIONS!$B$12)*($P$8:$P$23+$A$8:$A$23=$A24)*$O$8:$O$23)</f>
        <v>-1.4477</v>
      </c>
      <c r="AG24" s="28" t="n">
        <f aca="false">CLIMATE!N24+IFERROR(INDEX($W$8:$W$47,$A24-GRAPH!H17),0)*GRAPH!H9+IFERROR(INDEX($X$8:$X$47,$A24-GRAPH!H18),0)*GRAPH!H10+IFERROR(INDEX($Y$8:$Y$47,$A24-GRAPH!H19),0)*GRAPH!H11+IFERROR(INDEX($Z$8:$Z$47,$A24-GRAPH!H20),0)*GRAPH!H12+SUMPRODUCT(($D$8:$D$23=REGIONS!$B$13)*($F$8:$F$23+$A$8:$A$23=$A24)*$E$8:$E$23)+SUMPRODUCT(($N$8:$N$23=REGIONS!$B$13)*($P$8:$P$23+$A$8:$A$23=$A24)*$O$8:$O$23)</f>
        <v>-0.5665</v>
      </c>
      <c r="AH24" s="28" t="n">
        <f aca="false">CLIMATE!O24+IFERROR(INDEX($W$8:$W$47,$A24-GRAPH!I17),0)*GRAPH!I9+IFERROR(INDEX($X$8:$X$47,$A24-GRAPH!I18),0)*GRAPH!I10+IFERROR(INDEX($Y$8:$Y$47,$A24-GRAPH!I19),0)*GRAPH!I11+IFERROR(INDEX($Z$8:$Z$47,$A24-GRAPH!I20),0)*GRAPH!I12+SUMPRODUCT(($D$8:$D$23=REGIONS!$B$14)*($F$8:$F$23+$A$8:$A$23=$A24)*$E$8:$E$23)+SUMPRODUCT(($N$8:$N$23=REGIONS!$B$14)*($P$8:$P$23+$A$8:$A$23=$A24)*$O$8:$O$23)</f>
        <v>0.2446</v>
      </c>
      <c r="AI24" s="28" t="n">
        <f aca="false">REGIONS!$F$7*(1+ASSUMPTIONS!$B$19*$A24)</f>
        <v>0.8816</v>
      </c>
      <c r="AJ24" s="28" t="n">
        <f aca="false">REGIONS!$F$8*(1+ASSUMPTIONS!$B$19*$A24)</f>
        <v>0.9918</v>
      </c>
      <c r="AK24" s="28" t="n">
        <f aca="false">REGIONS!$F$9*(1+ASSUMPTIONS!$B$19*$A24)</f>
        <v>0.9918</v>
      </c>
      <c r="AL24" s="28" t="n">
        <f aca="false">REGIONS!$F$10*(1+ASSUMPTIONS!$B$19*$A24)</f>
        <v>0.7714</v>
      </c>
      <c r="AM24" s="28" t="n">
        <f aca="false">REGIONS!$F$11*(1+ASSUMPTIONS!$B$19*$A24)</f>
        <v>0.7714</v>
      </c>
      <c r="AN24" s="28" t="n">
        <f aca="false">REGIONS!$F$12*(1+ASSUMPTIONS!$B$19*$A24)</f>
        <v>1.2122</v>
      </c>
      <c r="AO24" s="28" t="n">
        <f aca="false">REGIONS!$F$13*(1+ASSUMPTIONS!$B$19*$A24)</f>
        <v>1.3224</v>
      </c>
      <c r="AP24" s="28" t="n">
        <f aca="false">REGIONS!$F$14*(1+ASSUMPTIONS!$B$19*$A24)</f>
        <v>1.3224</v>
      </c>
      <c r="AQ24" s="11" t="n">
        <f aca="false">SUMPRODUCT(($D$8:$D$47=REGIONS!$B$7)*($A$8:$A$47&lt;=$A24)*$L$8:$L$47)+SUMPRODUCT(($N$8:$N$47=REGIONS!$B$7)*($A$8:$A$47&lt;=$A24)*$V$8:$V$47)</f>
        <v>0</v>
      </c>
      <c r="AR24" s="11" t="n">
        <f aca="false">SUMPRODUCT(($D$8:$D$47=REGIONS!$B$8)*($A$8:$A$47&lt;=$A24)*$L$8:$L$47)+SUMPRODUCT(($N$8:$N$47=REGIONS!$B$8)*($A$8:$A$47&lt;=$A24)*$V$8:$V$47)</f>
        <v>0</v>
      </c>
      <c r="AS24" s="11" t="n">
        <f aca="false">SUMPRODUCT(($D$8:$D$47=REGIONS!$B$9)*($A$8:$A$47&lt;=$A24)*$L$8:$L$47)+SUMPRODUCT(($N$8:$N$47=REGIONS!$B$9)*($A$8:$A$47&lt;=$A24)*$V$8:$V$47)</f>
        <v>0</v>
      </c>
      <c r="AT24" s="11" t="n">
        <f aca="false">SUMPRODUCT(($D$8:$D$47=REGIONS!$B$10)*($A$8:$A$47&lt;=$A24)*$L$8:$L$47)+SUMPRODUCT(($N$8:$N$47=REGIONS!$B$10)*($A$8:$A$47&lt;=$A24)*$V$8:$V$47)</f>
        <v>0</v>
      </c>
      <c r="AU24" s="11" t="n">
        <f aca="false">SUMPRODUCT(($D$8:$D$47=REGIONS!$B$11)*($A$8:$A$47&lt;=$A24)*$L$8:$L$47)+SUMPRODUCT(($N$8:$N$47=REGIONS!$B$11)*($A$8:$A$47&lt;=$A24)*$V$8:$V$47)</f>
        <v>0</v>
      </c>
      <c r="AV24" s="11" t="n">
        <f aca="false">SUMPRODUCT(($D$8:$D$47=REGIONS!$B$12)*($A$8:$A$47&lt;=$A24)*$L$8:$L$47)+SUMPRODUCT(($N$8:$N$47=REGIONS!$B$12)*($A$8:$A$47&lt;=$A24)*$V$8:$V$47)</f>
        <v>0</v>
      </c>
      <c r="AW24" s="11" t="n">
        <f aca="false">SUMPRODUCT(($D$8:$D$47=REGIONS!$B$13)*($A$8:$A$47&lt;=$A24)*$L$8:$L$47)+SUMPRODUCT(($N$8:$N$47=REGIONS!$B$13)*($A$8:$A$47&lt;=$A24)*$V$8:$V$47)</f>
        <v>0</v>
      </c>
      <c r="AX24" s="11" t="n">
        <f aca="false">SUMPRODUCT(($D$8:$D$47=REGIONS!$B$14)*($A$8:$A$47&lt;=$A24)*$L$8:$L$47)+SUMPRODUCT(($N$8:$N$47=REGIONS!$B$14)*($A$8:$A$47&lt;=$A24)*$V$8:$V$47)</f>
        <v>0</v>
      </c>
      <c r="AY24" s="12" t="n">
        <f aca="false">MAX(0,MIN(135,100-(MAX(0,-$AA24)*REGIONS!$E$7*ASSUMPTIONS!$B$7+MAX(0,$AA24-ASSUMPTIONS!$B$9)*REGIONS!$E$7*ASSUMPTIONS!$B$8)*(1-$AQ24/100)))</f>
        <v>100</v>
      </c>
      <c r="AZ24" s="12" t="n">
        <f aca="false">MAX(0,MIN(135,100-(MAX(0,-$AB24)*REGIONS!$E$8*ASSUMPTIONS!$B$7+MAX(0,$AB24-ASSUMPTIONS!$B$9)*REGIONS!$E$8*ASSUMPTIONS!$B$8)*(1-$AR24/100)))</f>
        <v>100</v>
      </c>
      <c r="BA24" s="12" t="n">
        <f aca="false">MAX(0,MIN(135,100-(MAX(0,-$AC24)*REGIONS!$E$9*ASSUMPTIONS!$B$7+MAX(0,$AC24-ASSUMPTIONS!$B$9)*REGIONS!$E$9*ASSUMPTIONS!$B$8)*(1-$AS24/100)))</f>
        <v>100</v>
      </c>
      <c r="BB24" s="12" t="n">
        <f aca="false">MAX(0,MIN(135,100-(MAX(0,-$AD24)*REGIONS!$E$10*ASSUMPTIONS!$B$7+MAX(0,$AD24-ASSUMPTIONS!$B$9)*REGIONS!$E$10*ASSUMPTIONS!$B$8)*(1-$AT24/100)))</f>
        <v>85.53856</v>
      </c>
      <c r="BC24" s="12" t="n">
        <f aca="false">MAX(0,MIN(135,100-(MAX(0,-$AE24)*REGIONS!$E$11*ASSUMPTIONS!$B$7+MAX(0,$AE24-ASSUMPTIONS!$B$9)*REGIONS!$E$11*ASSUMPTIONS!$B$8)*(1-$AU24/100)))</f>
        <v>82.34082</v>
      </c>
      <c r="BD24" s="12" t="n">
        <f aca="false">MAX(0,MIN(135,100-(MAX(0,-$AF24)*REGIONS!$E$12*ASSUMPTIONS!$B$7+MAX(0,$AF24-ASSUMPTIONS!$B$9)*REGIONS!$E$12*ASSUMPTIONS!$B$8)*(1-$AV24/100)))</f>
        <v>73.65186</v>
      </c>
      <c r="BE24" s="12" t="n">
        <f aca="false">MAX(0,MIN(135,100-(MAX(0,-$AG24)*REGIONS!$E$13*ASSUMPTIONS!$B$7+MAX(0,$AG24-ASSUMPTIONS!$B$9)*REGIONS!$E$13*ASSUMPTIONS!$B$8)*(1-$AW24/100)))</f>
        <v>88.8966</v>
      </c>
      <c r="BF24" s="12" t="n">
        <f aca="false">MAX(0,MIN(135,100-(MAX(0,-$AH24)*REGIONS!$E$14*ASSUMPTIONS!$B$7+MAX(0,$AH24-ASSUMPTIONS!$B$9)*REGIONS!$E$14*ASSUMPTIONS!$B$8)*(1-$AX24/100)))</f>
        <v>100</v>
      </c>
      <c r="BG24" s="12" t="n">
        <f aca="false">$AY24*REGIONS!$D$7/100+$AZ24*REGIONS!$D$8/100+$BA24*REGIONS!$D$9/100+$BB24*REGIONS!$D$10/100+$BC24*REGIONS!$D$11/100+$BD24*REGIONS!$D$12/100+$BE24*REGIONS!$D$13/100+$BF24*REGIONS!$D$14/100</f>
        <v>92.7672654</v>
      </c>
      <c r="BH24" s="12" t="n">
        <f aca="false">100*(100/MAX(1,$BG24))^ASSUMPTIONS!$B$10</f>
        <v>114.469409288705</v>
      </c>
      <c r="BI24" s="12" t="n">
        <f aca="false">$AY24*$BH24/100*ASSUMPTIONS!$B$11</f>
        <v>97.2989978953993</v>
      </c>
      <c r="BJ24" s="28" t="n">
        <f aca="false">MAX(0,ABS($AA24)-$AI24*ASSUMPTIONS!$B$24)*REGIONS!$D$7/100+MAX(0,ABS($AB24)-$AJ24*ASSUMPTIONS!$B$24)*REGIONS!$D$8/100+MAX(0,ABS($AC24)-$AK24*ASSUMPTIONS!$B$24)*REGIONS!$D$9/100+MAX(0,ABS($AD24)-$AL24*ASSUMPTIONS!$B$24)*REGIONS!$D$10/100+MAX(0,ABS($AE24)-$AM24*ASSUMPTIONS!$B$24)*REGIONS!$D$11/100+MAX(0,ABS($AF24)-$AN24*ASSUMPTIONS!$B$24)*REGIONS!$D$12/100+MAX(0,ABS($AG24)-$AO24*ASSUMPTIONS!$B$24)*REGIONS!$D$13/100+MAX(0,ABS($AH24)-$AP24*ASSUMPTIONS!$B$24)*REGIONS!$D$14/100</f>
        <v>0.1566815</v>
      </c>
      <c r="BK24" s="12" t="n">
        <f aca="false">MIN(ASSUMPTIONS!$B$14,ASSUMPTIONS!$B$12+$BJ24*ASSUMPTIONS!$B$13)</f>
        <v>34.580623</v>
      </c>
      <c r="BL24" s="11" t="n">
        <f aca="false">$H24+$R24</f>
        <v>0</v>
      </c>
      <c r="BM24" s="11" t="n">
        <f aca="false">PLAY!$H24</f>
        <v>0</v>
      </c>
      <c r="BN24" s="12" t="n">
        <f aca="false">$BI24*ASSUMPTIONS!$B$15+$BK24*ASSUMPTIONS!$B$16</f>
        <v>42.7984404474479</v>
      </c>
      <c r="BO24" s="12" t="n">
        <f aca="false">$BO23+$BN24-$BL24-$BM24-ASSUMPTIONS!$B$23</f>
        <v>186.803970370392</v>
      </c>
      <c r="BP24" s="12" t="n">
        <f aca="false">(SUMPRODUCT(($F$8:$F$23+$A$8:$A$23=$A24)*($C$8:$C$23&lt;&gt;"NONE")*$G$8:$G$23)+SUMPRODUCT(($P$8:$P$23+$A$8:$A$23=$A24)*($M$8:$M$23&lt;&gt;"NONE")*$Q$8:$Q$23))*(1+ASSUMPTIONS!$B$22*(MAX(0,ABS($AA24)/$AI24-1)+MAX(0,ABS($AB24)/$AJ24-1)+MAX(0,ABS($AC24)/$AK24-1)+MAX(0,ABS($AD24)/$AL24-1)+MAX(0,ABS($AE24)/$AM24-1)+MAX(0,ABS($AF24)/$AN24-1)+MAX(0,ABS($AG24)/$AO24-1)+MAX(0,ABS($AH24)/$AP24-1))/8)</f>
        <v>0</v>
      </c>
      <c r="BQ24" s="12" t="n">
        <f aca="false">MAX(0,$BQ23*(1-ASSUMPTIONS!$B$18)+$BP24-$BM24*ASSUMPTIONS!$B$17)</f>
        <v>1.14490205416022</v>
      </c>
    </row>
    <row r="25" customFormat="false" ht="15" hidden="false" customHeight="false" outlineLevel="0" collapsed="false">
      <c r="A25" s="13" t="n">
        <v>18</v>
      </c>
      <c r="B25" s="11" t="n">
        <f aca="false">CLIMATE!B25</f>
        <v>1950</v>
      </c>
      <c r="C25" s="13" t="str">
        <f aca="false">IFERROR(INDEX(CAPABILITIES!$B$7:$B$15,MATCH(PLAY!$D25,CAPABILITIES!$A$7:$A$15,0)),"NONE")</f>
        <v>NONE</v>
      </c>
      <c r="D25" s="13" t="n">
        <f aca="false">IFERROR(IF(INDEX(CAPABILITIES!$B$7:$B$15,MATCH(PLAY!$D25,CAPABILITIES!$A$7:$A$15,0))="DRIVER",INDEX(CAPABILITIES!$C$7:$C$15,MATCH(PLAY!$D25,CAPABILITIES!$A$7:$A$15,0)),PLAY!$E25),"")</f>
        <v>0</v>
      </c>
      <c r="E25" s="13" t="n">
        <f aca="false">IFERROR(INDEX(CAPABILITIES!$D$7:$D$15,MATCH(PLAY!$D25,CAPABILITIES!$A$7:$A$15,0))*IF(INDEX(CAPABILITIES!$K$7:$K$15,MATCH(PLAY!$D25,CAPABILITIES!$A$7:$A$15,0))="Y",IF(IFERROR(INDEX($AA24:$AH24,MATCH(PLAY!$E25,REGIONS!$B$7:$B$14,0)),0)&lt;ASSUMPTIONS!$B$20,1,ASSUMPTIONS!$B$21),1),0)</f>
        <v>0</v>
      </c>
      <c r="F25" s="13" t="n">
        <f aca="false">IFERROR(INDEX(CAPABILITIES!$E$7:$E$15,MATCH(PLAY!$D25,CAPABILITIES!$A$7:$A$15,0)),0)</f>
        <v>0</v>
      </c>
      <c r="G25" s="13" t="n">
        <f aca="false">IFERROR(INDEX(CAPABILITIES!$F$7:$F$15,MATCH(PLAY!$D25,CAPABILITIES!$A$7:$A$15,0)),0)</f>
        <v>0</v>
      </c>
      <c r="H25" s="13" t="n">
        <f aca="false">IFERROR(INDEX(CAPABILITIES!$G$7:$G$15,MATCH(PLAY!$D25,CAPABILITIES!$A$7:$A$15,0)),0)</f>
        <v>0</v>
      </c>
      <c r="I25" s="13" t="n">
        <f aca="false">IFERROR(INDEX(CAPABILITIES!$H$7:$H$15,MATCH(PLAY!$D25,CAPABILITIES!$A$7:$A$15,0)),"")</f>
        <v>0</v>
      </c>
      <c r="J25" s="13" t="n">
        <f aca="false">IFERROR(INDEX(CAPABILITIES!$D$7:$D$15,MATCH(PLAY!$D25,CAPABILITIES!$A$7:$A$15,0))*INDEX(CAPABILITIES!$I$7:$I$15,MATCH(PLAY!$D25,CAPABILITIES!$A$7:$A$15,0)),0)</f>
        <v>0</v>
      </c>
      <c r="K25" s="13" t="n">
        <f aca="false">IFERROR(INDEX(CAPABILITIES!$E$7:$E$15,MATCH(PLAY!$D25,CAPABILITIES!$A$7:$A$15,0))+INDEX(CAPABILITIES!$J$7:$J$15,MATCH(PLAY!$D25,CAPABILITIES!$A$7:$A$15,0)),0)</f>
        <v>0</v>
      </c>
      <c r="L25" s="13" t="n">
        <f aca="false">IFERROR(INDEX(CAPABILITIES!$L$7:$L$15,MATCH(PLAY!$D25,CAPABILITIES!$A$7:$A$15,0)),0)</f>
        <v>0</v>
      </c>
      <c r="M25" s="13" t="str">
        <f aca="false">IFERROR(INDEX(CAPABILITIES!$B$7:$B$15,MATCH(PLAY!$F25,CAPABILITIES!$A$7:$A$15,0)),"NONE")</f>
        <v>NONE</v>
      </c>
      <c r="N25" s="13" t="n">
        <f aca="false">IFERROR(IF(INDEX(CAPABILITIES!$B$7:$B$15,MATCH(PLAY!$F25,CAPABILITIES!$A$7:$A$15,0))="DRIVER",INDEX(CAPABILITIES!$C$7:$C$15,MATCH(PLAY!$F25,CAPABILITIES!$A$7:$A$15,0)),PLAY!$G25),"")</f>
        <v>0</v>
      </c>
      <c r="O25" s="13" t="n">
        <f aca="false">IFERROR(INDEX(CAPABILITIES!$D$7:$D$15,MATCH(PLAY!$F25,CAPABILITIES!$A$7:$A$15,0))*IF(INDEX(CAPABILITIES!$K$7:$K$15,MATCH(PLAY!$F25,CAPABILITIES!$A$7:$A$15,0))="Y",IF(IFERROR(INDEX($AA24:$AH24,MATCH(PLAY!$G25,REGIONS!$B$7:$B$14,0)),0)&lt;ASSUMPTIONS!$B$20,1,ASSUMPTIONS!$B$21),1),0)</f>
        <v>0</v>
      </c>
      <c r="P25" s="13" t="n">
        <f aca="false">IFERROR(INDEX(CAPABILITIES!$E$7:$E$15,MATCH(PLAY!$F25,CAPABILITIES!$A$7:$A$15,0)),0)</f>
        <v>0</v>
      </c>
      <c r="Q25" s="13" t="n">
        <f aca="false">IFERROR(INDEX(CAPABILITIES!$F$7:$F$15,MATCH(PLAY!$F25,CAPABILITIES!$A$7:$A$15,0)),0)</f>
        <v>0</v>
      </c>
      <c r="R25" s="13" t="n">
        <f aca="false">IFERROR(INDEX(CAPABILITIES!$G$7:$G$15,MATCH(PLAY!$F25,CAPABILITIES!$A$7:$A$15,0)),0)</f>
        <v>0</v>
      </c>
      <c r="S25" s="13" t="n">
        <f aca="false">IFERROR(INDEX(CAPABILITIES!$H$7:$H$15,MATCH(PLAY!$F25,CAPABILITIES!$A$7:$A$15,0)),"")</f>
        <v>0</v>
      </c>
      <c r="T25" s="13" t="n">
        <f aca="false">IFERROR(INDEX(CAPABILITIES!$D$7:$D$15,MATCH(PLAY!$F25,CAPABILITIES!$A$7:$A$15,0))*INDEX(CAPABILITIES!$I$7:$I$15,MATCH(PLAY!$F25,CAPABILITIES!$A$7:$A$15,0)),0)</f>
        <v>0</v>
      </c>
      <c r="U25" s="13" t="n">
        <f aca="false">IFERROR(INDEX(CAPABILITIES!$E$7:$E$15,MATCH(PLAY!$F25,CAPABILITIES!$A$7:$A$15,0))+INDEX(CAPABILITIES!$J$7:$J$15,MATCH(PLAY!$F25,CAPABILITIES!$A$7:$A$15,0)),0)</f>
        <v>0</v>
      </c>
      <c r="V25" s="13" t="n">
        <f aca="false">IFERROR(INDEX(CAPABILITIES!$L$7:$L$15,MATCH(PLAY!$F25,CAPABILITIES!$A$7:$A$15,0)),0)</f>
        <v>0</v>
      </c>
      <c r="W25" s="28" t="n">
        <f aca="false">CLIMATE!D25+SUMPRODUCT(($D$8:$D$24="ENSO")*($F$8:$F$24+$A$8:$A$24=$A25)*$E$8:$E$24)+SUMPRODUCT(($I$8:$I$24="ENSO")*($K$8:$K$24+$A$8:$A$24=$A25)*$J$8:$J$24)+SUMPRODUCT(($N$8:$N$24="ENSO")*($P$8:$P$24+$A$8:$A$24=$A25)*$O$8:$O$24)+SUMPRODUCT(($S$8:$S$24="ENSO")*($U$8:$U$24+$A$8:$A$24=$A25)*$T$8:$T$24)</f>
        <v>0.667</v>
      </c>
      <c r="X25" s="28" t="n">
        <f aca="false">CLIMATE!E25+SUMPRODUCT(($D$8:$D$24="IOD")*($F$8:$F$24+$A$8:$A$24=$A25)*$E$8:$E$24)+SUMPRODUCT(($I$8:$I$24="IOD")*($K$8:$K$24+$A$8:$A$24=$A25)*$J$8:$J$24)+SUMPRODUCT(($N$8:$N$24="IOD")*($P$8:$P$24+$A$8:$A$24=$A25)*$O$8:$O$24)+SUMPRODUCT(($S$8:$S$24="IOD")*($U$8:$U$24+$A$8:$A$24=$A25)*$T$8:$T$24)</f>
        <v>1.093</v>
      </c>
      <c r="Y25" s="28" t="n">
        <f aca="false">CLIMATE!F25+SUMPRODUCT(($D$8:$D$24="NATL")*($F$8:$F$24+$A$8:$A$24=$A25)*$E$8:$E$24)+SUMPRODUCT(($I$8:$I$24="NATL")*($K$8:$K$24+$A$8:$A$24=$A25)*$J$8:$J$24)+SUMPRODUCT(($N$8:$N$24="NATL")*($P$8:$P$24+$A$8:$A$24=$A25)*$O$8:$O$24)+SUMPRODUCT(($S$8:$S$24="NATL")*($U$8:$U$24+$A$8:$A$24=$A25)*$T$8:$T$24)</f>
        <v>-0.516</v>
      </c>
      <c r="Z25" s="28" t="n">
        <f aca="false">CLIMATE!G25+SUMPRODUCT(($D$8:$D$24="GLOBAL")*($F$8:$F$24+$A$8:$A$24=$A25)*$E$8:$E$24)+SUMPRODUCT(($I$8:$I$24="GLOBAL")*($K$8:$K$24+$A$8:$A$24=$A25)*$J$8:$J$24)+SUMPRODUCT(($N$8:$N$24="GLOBAL")*($P$8:$P$24+$A$8:$A$24=$A25)*$O$8:$O$24)+SUMPRODUCT(($S$8:$S$24="GLOBAL")*($U$8:$U$24+$A$8:$A$24=$A25)*$T$8:$T$24)</f>
        <v>0</v>
      </c>
      <c r="AA25" s="28" t="n">
        <f aca="false">CLIMATE!H25+IFERROR(INDEX($W$8:$W$47,$A25-GRAPH!B17),0)*GRAPH!B9+IFERROR(INDEX($X$8:$X$47,$A25-GRAPH!B18),0)*GRAPH!B10+IFERROR(INDEX($Y$8:$Y$47,$A25-GRAPH!B19),0)*GRAPH!B11+IFERROR(INDEX($Z$8:$Z$47,$A25-GRAPH!B20),0)*GRAPH!B12+SUMPRODUCT(($D$8:$D$24=REGIONS!$B$7)*($F$8:$F$24+$A$8:$A$24=$A25)*$E$8:$E$24)+SUMPRODUCT(($N$8:$N$24=REGIONS!$B$7)*($P$8:$P$24+$A$8:$A$24=$A25)*$O$8:$O$24)</f>
        <v>0.2279</v>
      </c>
      <c r="AB25" s="28" t="n">
        <f aca="false">CLIMATE!I25+IFERROR(INDEX($W$8:$W$47,$A25-GRAPH!C17),0)*GRAPH!C9+IFERROR(INDEX($X$8:$X$47,$A25-GRAPH!C18),0)*GRAPH!C10+IFERROR(INDEX($Y$8:$Y$47,$A25-GRAPH!C19),0)*GRAPH!C11+IFERROR(INDEX($Z$8:$Z$47,$A25-GRAPH!C20),0)*GRAPH!C12+SUMPRODUCT(($D$8:$D$24=REGIONS!$B$8)*($F$8:$F$24+$A$8:$A$24=$A25)*$E$8:$E$24)+SUMPRODUCT(($N$8:$N$24=REGIONS!$B$8)*($P$8:$P$24+$A$8:$A$24=$A25)*$O$8:$O$24)</f>
        <v>0.3248</v>
      </c>
      <c r="AC25" s="28" t="n">
        <f aca="false">CLIMATE!J25+IFERROR(INDEX($W$8:$W$47,$A25-GRAPH!D17),0)*GRAPH!D9+IFERROR(INDEX($X$8:$X$47,$A25-GRAPH!D18),0)*GRAPH!D10+IFERROR(INDEX($Y$8:$Y$47,$A25-GRAPH!D19),0)*GRAPH!D11+IFERROR(INDEX($Z$8:$Z$47,$A25-GRAPH!D20),0)*GRAPH!D12+SUMPRODUCT(($D$8:$D$24=REGIONS!$B$9)*($F$8:$F$24+$A$8:$A$24=$A25)*$E$8:$E$24)+SUMPRODUCT(($N$8:$N$24=REGIONS!$B$9)*($P$8:$P$24+$A$8:$A$24=$A25)*$O$8:$O$24)</f>
        <v>0.9935</v>
      </c>
      <c r="AD25" s="28" t="n">
        <f aca="false">CLIMATE!K25+IFERROR(INDEX($W$8:$W$47,$A25-GRAPH!E17),0)*GRAPH!E9+IFERROR(INDEX($X$8:$X$47,$A25-GRAPH!E18),0)*GRAPH!E10+IFERROR(INDEX($Y$8:$Y$47,$A25-GRAPH!E19),0)*GRAPH!E11+IFERROR(INDEX($Z$8:$Z$47,$A25-GRAPH!E20),0)*GRAPH!E12+SUMPRODUCT(($D$8:$D$24=REGIONS!$B$10)*($F$8:$F$24+$A$8:$A$24=$A25)*$E$8:$E$24)+SUMPRODUCT(($N$8:$N$24=REGIONS!$B$10)*($P$8:$P$24+$A$8:$A$24=$A25)*$O$8:$O$24)</f>
        <v>-0.4566</v>
      </c>
      <c r="AE25" s="28" t="n">
        <f aca="false">CLIMATE!L25+IFERROR(INDEX($W$8:$W$47,$A25-GRAPH!F17),0)*GRAPH!F9+IFERROR(INDEX($X$8:$X$47,$A25-GRAPH!F18),0)*GRAPH!F10+IFERROR(INDEX($Y$8:$Y$47,$A25-GRAPH!F19),0)*GRAPH!F11+IFERROR(INDEX($Z$8:$Z$47,$A25-GRAPH!F20),0)*GRAPH!F12+SUMPRODUCT(($D$8:$D$24=REGIONS!$B$11)*($F$8:$F$24+$A$8:$A$24=$A25)*$E$8:$E$24)+SUMPRODUCT(($N$8:$N$24=REGIONS!$B$11)*($P$8:$P$24+$A$8:$A$24=$A25)*$O$8:$O$24)</f>
        <v>-1.0331</v>
      </c>
      <c r="AF25" s="28" t="n">
        <f aca="false">CLIMATE!M25+IFERROR(INDEX($W$8:$W$47,$A25-GRAPH!G17),0)*GRAPH!G9+IFERROR(INDEX($X$8:$X$47,$A25-GRAPH!G18),0)*GRAPH!G10+IFERROR(INDEX($Y$8:$Y$47,$A25-GRAPH!G19),0)*GRAPH!G11+IFERROR(INDEX($Z$8:$Z$47,$A25-GRAPH!G20),0)*GRAPH!G12+SUMPRODUCT(($D$8:$D$24=REGIONS!$B$12)*($F$8:$F$24+$A$8:$A$24=$A25)*$E$8:$E$24)+SUMPRODUCT(($N$8:$N$24=REGIONS!$B$12)*($P$8:$P$24+$A$8:$A$24=$A25)*$O$8:$O$24)</f>
        <v>-1.9943</v>
      </c>
      <c r="AG25" s="28" t="n">
        <f aca="false">CLIMATE!N25+IFERROR(INDEX($W$8:$W$47,$A25-GRAPH!H17),0)*GRAPH!H9+IFERROR(INDEX($X$8:$X$47,$A25-GRAPH!H18),0)*GRAPH!H10+IFERROR(INDEX($Y$8:$Y$47,$A25-GRAPH!H19),0)*GRAPH!H11+IFERROR(INDEX($Z$8:$Z$47,$A25-GRAPH!H20),0)*GRAPH!H12+SUMPRODUCT(($D$8:$D$24=REGIONS!$B$13)*($F$8:$F$24+$A$8:$A$24=$A25)*$E$8:$E$24)+SUMPRODUCT(($N$8:$N$24=REGIONS!$B$13)*($P$8:$P$24+$A$8:$A$24=$A25)*$O$8:$O$24)</f>
        <v>-0.5857</v>
      </c>
      <c r="AH25" s="28" t="n">
        <f aca="false">CLIMATE!O25+IFERROR(INDEX($W$8:$W$47,$A25-GRAPH!I17),0)*GRAPH!I9+IFERROR(INDEX($X$8:$X$47,$A25-GRAPH!I18),0)*GRAPH!I10+IFERROR(INDEX($Y$8:$Y$47,$A25-GRAPH!I19),0)*GRAPH!I11+IFERROR(INDEX($Z$8:$Z$47,$A25-GRAPH!I20),0)*GRAPH!I12+SUMPRODUCT(($D$8:$D$24=REGIONS!$B$14)*($F$8:$F$24+$A$8:$A$24=$A25)*$E$8:$E$24)+SUMPRODUCT(($N$8:$N$24=REGIONS!$B$14)*($P$8:$P$24+$A$8:$A$24=$A25)*$O$8:$O$24)</f>
        <v>1.2636</v>
      </c>
      <c r="AI25" s="28" t="n">
        <f aca="false">REGIONS!$F$7*(1+ASSUMPTIONS!$B$19*$A25)</f>
        <v>0.8864</v>
      </c>
      <c r="AJ25" s="28" t="n">
        <f aca="false">REGIONS!$F$8*(1+ASSUMPTIONS!$B$19*$A25)</f>
        <v>0.9972</v>
      </c>
      <c r="AK25" s="28" t="n">
        <f aca="false">REGIONS!$F$9*(1+ASSUMPTIONS!$B$19*$A25)</f>
        <v>0.9972</v>
      </c>
      <c r="AL25" s="28" t="n">
        <f aca="false">REGIONS!$F$10*(1+ASSUMPTIONS!$B$19*$A25)</f>
        <v>0.7756</v>
      </c>
      <c r="AM25" s="28" t="n">
        <f aca="false">REGIONS!$F$11*(1+ASSUMPTIONS!$B$19*$A25)</f>
        <v>0.7756</v>
      </c>
      <c r="AN25" s="28" t="n">
        <f aca="false">REGIONS!$F$12*(1+ASSUMPTIONS!$B$19*$A25)</f>
        <v>1.2188</v>
      </c>
      <c r="AO25" s="28" t="n">
        <f aca="false">REGIONS!$F$13*(1+ASSUMPTIONS!$B$19*$A25)</f>
        <v>1.3296</v>
      </c>
      <c r="AP25" s="28" t="n">
        <f aca="false">REGIONS!$F$14*(1+ASSUMPTIONS!$B$19*$A25)</f>
        <v>1.3296</v>
      </c>
      <c r="AQ25" s="11" t="n">
        <f aca="false">SUMPRODUCT(($D$8:$D$47=REGIONS!$B$7)*($A$8:$A$47&lt;=$A25)*$L$8:$L$47)+SUMPRODUCT(($N$8:$N$47=REGIONS!$B$7)*($A$8:$A$47&lt;=$A25)*$V$8:$V$47)</f>
        <v>0</v>
      </c>
      <c r="AR25" s="11" t="n">
        <f aca="false">SUMPRODUCT(($D$8:$D$47=REGIONS!$B$8)*($A$8:$A$47&lt;=$A25)*$L$8:$L$47)+SUMPRODUCT(($N$8:$N$47=REGIONS!$B$8)*($A$8:$A$47&lt;=$A25)*$V$8:$V$47)</f>
        <v>0</v>
      </c>
      <c r="AS25" s="11" t="n">
        <f aca="false">SUMPRODUCT(($D$8:$D$47=REGIONS!$B$9)*($A$8:$A$47&lt;=$A25)*$L$8:$L$47)+SUMPRODUCT(($N$8:$N$47=REGIONS!$B$9)*($A$8:$A$47&lt;=$A25)*$V$8:$V$47)</f>
        <v>0</v>
      </c>
      <c r="AT25" s="11" t="n">
        <f aca="false">SUMPRODUCT(($D$8:$D$47=REGIONS!$B$10)*($A$8:$A$47&lt;=$A25)*$L$8:$L$47)+SUMPRODUCT(($N$8:$N$47=REGIONS!$B$10)*($A$8:$A$47&lt;=$A25)*$V$8:$V$47)</f>
        <v>0</v>
      </c>
      <c r="AU25" s="11" t="n">
        <f aca="false">SUMPRODUCT(($D$8:$D$47=REGIONS!$B$11)*($A$8:$A$47&lt;=$A25)*$L$8:$L$47)+SUMPRODUCT(($N$8:$N$47=REGIONS!$B$11)*($A$8:$A$47&lt;=$A25)*$V$8:$V$47)</f>
        <v>0</v>
      </c>
      <c r="AV25" s="11" t="n">
        <f aca="false">SUMPRODUCT(($D$8:$D$47=REGIONS!$B$12)*($A$8:$A$47&lt;=$A25)*$L$8:$L$47)+SUMPRODUCT(($N$8:$N$47=REGIONS!$B$12)*($A$8:$A$47&lt;=$A25)*$V$8:$V$47)</f>
        <v>0</v>
      </c>
      <c r="AW25" s="11" t="n">
        <f aca="false">SUMPRODUCT(($D$8:$D$47=REGIONS!$B$13)*($A$8:$A$47&lt;=$A25)*$L$8:$L$47)+SUMPRODUCT(($N$8:$N$47=REGIONS!$B$13)*($A$8:$A$47&lt;=$A25)*$V$8:$V$47)</f>
        <v>0</v>
      </c>
      <c r="AX25" s="11" t="n">
        <f aca="false">SUMPRODUCT(($D$8:$D$47=REGIONS!$B$14)*($A$8:$A$47&lt;=$A25)*$L$8:$L$47)+SUMPRODUCT(($N$8:$N$47=REGIONS!$B$14)*($A$8:$A$47&lt;=$A25)*$V$8:$V$47)</f>
        <v>0</v>
      </c>
      <c r="AY25" s="12" t="n">
        <f aca="false">MAX(0,MIN(135,100-(MAX(0,-$AA25)*REGIONS!$E$7*ASSUMPTIONS!$B$7+MAX(0,$AA25-ASSUMPTIONS!$B$9)*REGIONS!$E$7*ASSUMPTIONS!$B$8)*(1-$AQ25/100)))</f>
        <v>100</v>
      </c>
      <c r="AZ25" s="12" t="n">
        <f aca="false">MAX(0,MIN(135,100-(MAX(0,-$AB25)*REGIONS!$E$8*ASSUMPTIONS!$B$7+MAX(0,$AB25-ASSUMPTIONS!$B$9)*REGIONS!$E$8*ASSUMPTIONS!$B$8)*(1-$AR25/100)))</f>
        <v>100</v>
      </c>
      <c r="BA25" s="12" t="n">
        <f aca="false">MAX(0,MIN(135,100-(MAX(0,-$AC25)*REGIONS!$E$9*ASSUMPTIONS!$B$7+MAX(0,$AC25-ASSUMPTIONS!$B$9)*REGIONS!$E$9*ASSUMPTIONS!$B$8)*(1-$AS25/100)))</f>
        <v>100</v>
      </c>
      <c r="BB25" s="12" t="n">
        <f aca="false">MAX(0,MIN(135,100-(MAX(0,-$AD25)*REGIONS!$E$10*ASSUMPTIONS!$B$7+MAX(0,$AD25-ASSUMPTIONS!$B$9)*REGIONS!$E$10*ASSUMPTIONS!$B$8)*(1-$AT25/100)))</f>
        <v>92.32912</v>
      </c>
      <c r="BC25" s="12" t="n">
        <f aca="false">MAX(0,MIN(135,100-(MAX(0,-$AE25)*REGIONS!$E$11*ASSUMPTIONS!$B$7+MAX(0,$AE25-ASSUMPTIONS!$B$9)*REGIONS!$E$11*ASSUMPTIONS!$B$8)*(1-$AU25/100)))</f>
        <v>84.09026</v>
      </c>
      <c r="BD25" s="12" t="n">
        <f aca="false">MAX(0,MIN(135,100-(MAX(0,-$AF25)*REGIONS!$E$12*ASSUMPTIONS!$B$7+MAX(0,$AF25-ASSUMPTIONS!$B$9)*REGIONS!$E$12*ASSUMPTIONS!$B$8)*(1-$AV25/100)))</f>
        <v>63.70374</v>
      </c>
      <c r="BE25" s="12" t="n">
        <f aca="false">MAX(0,MIN(135,100-(MAX(0,-$AG25)*REGIONS!$E$13*ASSUMPTIONS!$B$7+MAX(0,$AG25-ASSUMPTIONS!$B$9)*REGIONS!$E$13*ASSUMPTIONS!$B$8)*(1-$AW25/100)))</f>
        <v>88.52028</v>
      </c>
      <c r="BF25" s="12" t="n">
        <f aca="false">MAX(0,MIN(135,100-(MAX(0,-$AH25)*REGIONS!$E$14*ASSUMPTIONS!$B$7+MAX(0,$AH25-ASSUMPTIONS!$B$9)*REGIONS!$E$14*ASSUMPTIONS!$B$8)*(1-$AX25/100)))</f>
        <v>99.28768</v>
      </c>
      <c r="BG25" s="12" t="n">
        <f aca="false">$AY25*REGIONS!$D$7/100+$AZ25*REGIONS!$D$8/100+$BA25*REGIONS!$D$9/100+$BB25*REGIONS!$D$10/100+$BC25*REGIONS!$D$11/100+$BD25*REGIONS!$D$12/100+$BE25*REGIONS!$D$13/100+$BF25*REGIONS!$D$14/100</f>
        <v>93.4378122</v>
      </c>
      <c r="BH25" s="12" t="n">
        <f aca="false">100*(100/MAX(1,$BG25))^ASSUMPTIONS!$B$10</f>
        <v>112.994995716394</v>
      </c>
      <c r="BI25" s="12" t="n">
        <f aca="false">$AY25*$BH25/100*ASSUMPTIONS!$B$11</f>
        <v>96.0457463589346</v>
      </c>
      <c r="BJ25" s="28" t="n">
        <f aca="false">MAX(0,ABS($AA25)-$AI25*ASSUMPTIONS!$B$24)*REGIONS!$D$7/100+MAX(0,ABS($AB25)-$AJ25*ASSUMPTIONS!$B$24)*REGIONS!$D$8/100+MAX(0,ABS($AC25)-$AK25*ASSUMPTIONS!$B$24)*REGIONS!$D$9/100+MAX(0,ABS($AD25)-$AL25*ASSUMPTIONS!$B$24)*REGIONS!$D$10/100+MAX(0,ABS($AE25)-$AM25*ASSUMPTIONS!$B$24)*REGIONS!$D$11/100+MAX(0,ABS($AF25)-$AN25*ASSUMPTIONS!$B$24)*REGIONS!$D$12/100+MAX(0,ABS($AG25)-$AO25*ASSUMPTIONS!$B$24)*REGIONS!$D$13/100+MAX(0,ABS($AH25)-$AP25*ASSUMPTIONS!$B$24)*REGIONS!$D$14/100</f>
        <v>0.182606</v>
      </c>
      <c r="BK25" s="12" t="n">
        <f aca="false">MIN(ASSUMPTIONS!$B$14,ASSUMPTIONS!$B$12+$BJ25*ASSUMPTIONS!$B$13)</f>
        <v>35.669452</v>
      </c>
      <c r="BL25" s="11" t="n">
        <f aca="false">$H25+$R25</f>
        <v>0</v>
      </c>
      <c r="BM25" s="11" t="n">
        <f aca="false">PLAY!$H25</f>
        <v>0</v>
      </c>
      <c r="BN25" s="12" t="n">
        <f aca="false">$BI25*ASSUMPTIONS!$B$15+$BK25*ASSUMPTIONS!$B$16</f>
        <v>43.6279963630722</v>
      </c>
      <c r="BO25" s="12" t="n">
        <f aca="false">$BO24+$BN25-$BL25-$BM25-ASSUMPTIONS!$B$23</f>
        <v>198.431966733464</v>
      </c>
      <c r="BP25" s="12" t="n">
        <f aca="false">(SUMPRODUCT(($F$8:$F$24+$A$8:$A$24=$A25)*($C$8:$C$24&lt;&gt;"NONE")*$G$8:$G$24)+SUMPRODUCT(($P$8:$P$24+$A$8:$A$24=$A25)*($M$8:$M$24&lt;&gt;"NONE")*$Q$8:$Q$24))*(1+ASSUMPTIONS!$B$22*(MAX(0,ABS($AA25)/$AI25-1)+MAX(0,ABS($AB25)/$AJ25-1)+MAX(0,ABS($AC25)/$AK25-1)+MAX(0,ABS($AD25)/$AL25-1)+MAX(0,ABS($AE25)/$AM25-1)+MAX(0,ABS($AF25)/$AN25-1)+MAX(0,ABS($AG25)/$AO25-1)+MAX(0,ABS($AH25)/$AP25-1))/8)</f>
        <v>0</v>
      </c>
      <c r="BQ25" s="12" t="n">
        <f aca="false">MAX(0,$BQ24*(1-ASSUMPTIONS!$B$18)+$BP25-$BM25*ASSUMPTIONS!$B$17)</f>
        <v>1.09910597199381</v>
      </c>
    </row>
    <row r="26" customFormat="false" ht="15" hidden="false" customHeight="false" outlineLevel="0" collapsed="false">
      <c r="A26" s="13" t="n">
        <v>19</v>
      </c>
      <c r="B26" s="11" t="n">
        <f aca="false">CLIMATE!B26</f>
        <v>1950</v>
      </c>
      <c r="C26" s="13" t="str">
        <f aca="false">IFERROR(INDEX(CAPABILITIES!$B$7:$B$15,MATCH(PLAY!$D26,CAPABILITIES!$A$7:$A$15,0)),"NONE")</f>
        <v>NONE</v>
      </c>
      <c r="D26" s="13" t="n">
        <f aca="false">IFERROR(IF(INDEX(CAPABILITIES!$B$7:$B$15,MATCH(PLAY!$D26,CAPABILITIES!$A$7:$A$15,0))="DRIVER",INDEX(CAPABILITIES!$C$7:$C$15,MATCH(PLAY!$D26,CAPABILITIES!$A$7:$A$15,0)),PLAY!$E26),"")</f>
        <v>0</v>
      </c>
      <c r="E26" s="13" t="n">
        <f aca="false">IFERROR(INDEX(CAPABILITIES!$D$7:$D$15,MATCH(PLAY!$D26,CAPABILITIES!$A$7:$A$15,0))*IF(INDEX(CAPABILITIES!$K$7:$K$15,MATCH(PLAY!$D26,CAPABILITIES!$A$7:$A$15,0))="Y",IF(IFERROR(INDEX($AA25:$AH25,MATCH(PLAY!$E26,REGIONS!$B$7:$B$14,0)),0)&lt;ASSUMPTIONS!$B$20,1,ASSUMPTIONS!$B$21),1),0)</f>
        <v>0</v>
      </c>
      <c r="F26" s="13" t="n">
        <f aca="false">IFERROR(INDEX(CAPABILITIES!$E$7:$E$15,MATCH(PLAY!$D26,CAPABILITIES!$A$7:$A$15,0)),0)</f>
        <v>0</v>
      </c>
      <c r="G26" s="13" t="n">
        <f aca="false">IFERROR(INDEX(CAPABILITIES!$F$7:$F$15,MATCH(PLAY!$D26,CAPABILITIES!$A$7:$A$15,0)),0)</f>
        <v>0</v>
      </c>
      <c r="H26" s="13" t="n">
        <f aca="false">IFERROR(INDEX(CAPABILITIES!$G$7:$G$15,MATCH(PLAY!$D26,CAPABILITIES!$A$7:$A$15,0)),0)</f>
        <v>0</v>
      </c>
      <c r="I26" s="13" t="n">
        <f aca="false">IFERROR(INDEX(CAPABILITIES!$H$7:$H$15,MATCH(PLAY!$D26,CAPABILITIES!$A$7:$A$15,0)),"")</f>
        <v>0</v>
      </c>
      <c r="J26" s="13" t="n">
        <f aca="false">IFERROR(INDEX(CAPABILITIES!$D$7:$D$15,MATCH(PLAY!$D26,CAPABILITIES!$A$7:$A$15,0))*INDEX(CAPABILITIES!$I$7:$I$15,MATCH(PLAY!$D26,CAPABILITIES!$A$7:$A$15,0)),0)</f>
        <v>0</v>
      </c>
      <c r="K26" s="13" t="n">
        <f aca="false">IFERROR(INDEX(CAPABILITIES!$E$7:$E$15,MATCH(PLAY!$D26,CAPABILITIES!$A$7:$A$15,0))+INDEX(CAPABILITIES!$J$7:$J$15,MATCH(PLAY!$D26,CAPABILITIES!$A$7:$A$15,0)),0)</f>
        <v>0</v>
      </c>
      <c r="L26" s="13" t="n">
        <f aca="false">IFERROR(INDEX(CAPABILITIES!$L$7:$L$15,MATCH(PLAY!$D26,CAPABILITIES!$A$7:$A$15,0)),0)</f>
        <v>0</v>
      </c>
      <c r="M26" s="13" t="str">
        <f aca="false">IFERROR(INDEX(CAPABILITIES!$B$7:$B$15,MATCH(PLAY!$F26,CAPABILITIES!$A$7:$A$15,0)),"NONE")</f>
        <v>NONE</v>
      </c>
      <c r="N26" s="13" t="n">
        <f aca="false">IFERROR(IF(INDEX(CAPABILITIES!$B$7:$B$15,MATCH(PLAY!$F26,CAPABILITIES!$A$7:$A$15,0))="DRIVER",INDEX(CAPABILITIES!$C$7:$C$15,MATCH(PLAY!$F26,CAPABILITIES!$A$7:$A$15,0)),PLAY!$G26),"")</f>
        <v>0</v>
      </c>
      <c r="O26" s="13" t="n">
        <f aca="false">IFERROR(INDEX(CAPABILITIES!$D$7:$D$15,MATCH(PLAY!$F26,CAPABILITIES!$A$7:$A$15,0))*IF(INDEX(CAPABILITIES!$K$7:$K$15,MATCH(PLAY!$F26,CAPABILITIES!$A$7:$A$15,0))="Y",IF(IFERROR(INDEX($AA25:$AH25,MATCH(PLAY!$G26,REGIONS!$B$7:$B$14,0)),0)&lt;ASSUMPTIONS!$B$20,1,ASSUMPTIONS!$B$21),1),0)</f>
        <v>0</v>
      </c>
      <c r="P26" s="13" t="n">
        <f aca="false">IFERROR(INDEX(CAPABILITIES!$E$7:$E$15,MATCH(PLAY!$F26,CAPABILITIES!$A$7:$A$15,0)),0)</f>
        <v>0</v>
      </c>
      <c r="Q26" s="13" t="n">
        <f aca="false">IFERROR(INDEX(CAPABILITIES!$F$7:$F$15,MATCH(PLAY!$F26,CAPABILITIES!$A$7:$A$15,0)),0)</f>
        <v>0</v>
      </c>
      <c r="R26" s="13" t="n">
        <f aca="false">IFERROR(INDEX(CAPABILITIES!$G$7:$G$15,MATCH(PLAY!$F26,CAPABILITIES!$A$7:$A$15,0)),0)</f>
        <v>0</v>
      </c>
      <c r="S26" s="13" t="n">
        <f aca="false">IFERROR(INDEX(CAPABILITIES!$H$7:$H$15,MATCH(PLAY!$F26,CAPABILITIES!$A$7:$A$15,0)),"")</f>
        <v>0</v>
      </c>
      <c r="T26" s="13" t="n">
        <f aca="false">IFERROR(INDEX(CAPABILITIES!$D$7:$D$15,MATCH(PLAY!$F26,CAPABILITIES!$A$7:$A$15,0))*INDEX(CAPABILITIES!$I$7:$I$15,MATCH(PLAY!$F26,CAPABILITIES!$A$7:$A$15,0)),0)</f>
        <v>0</v>
      </c>
      <c r="U26" s="13" t="n">
        <f aca="false">IFERROR(INDEX(CAPABILITIES!$E$7:$E$15,MATCH(PLAY!$F26,CAPABILITIES!$A$7:$A$15,0))+INDEX(CAPABILITIES!$J$7:$J$15,MATCH(PLAY!$F26,CAPABILITIES!$A$7:$A$15,0)),0)</f>
        <v>0</v>
      </c>
      <c r="V26" s="13" t="n">
        <f aca="false">IFERROR(INDEX(CAPABILITIES!$L$7:$L$15,MATCH(PLAY!$F26,CAPABILITIES!$A$7:$A$15,0)),0)</f>
        <v>0</v>
      </c>
      <c r="W26" s="28" t="n">
        <f aca="false">CLIMATE!D26+SUMPRODUCT(($D$8:$D$25="ENSO")*($F$8:$F$25+$A$8:$A$25=$A26)*$E$8:$E$25)+SUMPRODUCT(($I$8:$I$25="ENSO")*($K$8:$K$25+$A$8:$A$25=$A26)*$J$8:$J$25)+SUMPRODUCT(($N$8:$N$25="ENSO")*($P$8:$P$25+$A$8:$A$25=$A26)*$O$8:$O$25)+SUMPRODUCT(($S$8:$S$25="ENSO")*($U$8:$U$25+$A$8:$A$25=$A26)*$T$8:$T$25)</f>
        <v>0.07</v>
      </c>
      <c r="X26" s="28" t="n">
        <f aca="false">CLIMATE!E26+SUMPRODUCT(($D$8:$D$25="IOD")*($F$8:$F$25+$A$8:$A$25=$A26)*$E$8:$E$25)+SUMPRODUCT(($I$8:$I$25="IOD")*($K$8:$K$25+$A$8:$A$25=$A26)*$J$8:$J$25)+SUMPRODUCT(($N$8:$N$25="IOD")*($P$8:$P$25+$A$8:$A$25=$A26)*$O$8:$O$25)+SUMPRODUCT(($S$8:$S$25="IOD")*($U$8:$U$25+$A$8:$A$25=$A26)*$T$8:$T$25)</f>
        <v>0.099</v>
      </c>
      <c r="Y26" s="28" t="n">
        <f aca="false">CLIMATE!F26+SUMPRODUCT(($D$8:$D$25="NATL")*($F$8:$F$25+$A$8:$A$25=$A26)*$E$8:$E$25)+SUMPRODUCT(($I$8:$I$25="NATL")*($K$8:$K$25+$A$8:$A$25=$A26)*$J$8:$J$25)+SUMPRODUCT(($N$8:$N$25="NATL")*($P$8:$P$25+$A$8:$A$25=$A26)*$O$8:$O$25)+SUMPRODUCT(($S$8:$S$25="NATL")*($U$8:$U$25+$A$8:$A$25=$A26)*$T$8:$T$25)</f>
        <v>-0.384</v>
      </c>
      <c r="Z26" s="28" t="n">
        <f aca="false">CLIMATE!G26+SUMPRODUCT(($D$8:$D$25="GLOBAL")*($F$8:$F$25+$A$8:$A$25=$A26)*$E$8:$E$25)+SUMPRODUCT(($I$8:$I$25="GLOBAL")*($K$8:$K$25+$A$8:$A$25=$A26)*$J$8:$J$25)+SUMPRODUCT(($N$8:$N$25="GLOBAL")*($P$8:$P$25+$A$8:$A$25=$A26)*$O$8:$O$25)+SUMPRODUCT(($S$8:$S$25="GLOBAL")*($U$8:$U$25+$A$8:$A$25=$A26)*$T$8:$T$25)</f>
        <v>0</v>
      </c>
      <c r="AA26" s="28" t="n">
        <f aca="false">CLIMATE!H26+IFERROR(INDEX($W$8:$W$47,$A26-GRAPH!B17),0)*GRAPH!B9+IFERROR(INDEX($X$8:$X$47,$A26-GRAPH!B18),0)*GRAPH!B10+IFERROR(INDEX($Y$8:$Y$47,$A26-GRAPH!B19),0)*GRAPH!B11+IFERROR(INDEX($Z$8:$Z$47,$A26-GRAPH!B20),0)*GRAPH!B12+SUMPRODUCT(($D$8:$D$25=REGIONS!$B$7)*($F$8:$F$25+$A$8:$A$25=$A26)*$E$8:$E$25)+SUMPRODUCT(($N$8:$N$25=REGIONS!$B$7)*($P$8:$P$25+$A$8:$A$25=$A26)*$O$8:$O$25)</f>
        <v>0.047</v>
      </c>
      <c r="AB26" s="28" t="n">
        <f aca="false">CLIMATE!I26+IFERROR(INDEX($W$8:$W$47,$A26-GRAPH!C17),0)*GRAPH!C9+IFERROR(INDEX($X$8:$X$47,$A26-GRAPH!C18),0)*GRAPH!C10+IFERROR(INDEX($Y$8:$Y$47,$A26-GRAPH!C19),0)*GRAPH!C11+IFERROR(INDEX($Z$8:$Z$47,$A26-GRAPH!C20),0)*GRAPH!C12+SUMPRODUCT(($D$8:$D$25=REGIONS!$B$8)*($F$8:$F$25+$A$8:$A$25=$A26)*$E$8:$E$25)+SUMPRODUCT(($N$8:$N$25=REGIONS!$B$8)*($P$8:$P$25+$A$8:$A$25=$A26)*$O$8:$O$25)</f>
        <v>-0.0977</v>
      </c>
      <c r="AC26" s="28" t="n">
        <f aca="false">CLIMATE!J26+IFERROR(INDEX($W$8:$W$47,$A26-GRAPH!D17),0)*GRAPH!D9+IFERROR(INDEX($X$8:$X$47,$A26-GRAPH!D18),0)*GRAPH!D10+IFERROR(INDEX($Y$8:$Y$47,$A26-GRAPH!D19),0)*GRAPH!D11+IFERROR(INDEX($Z$8:$Z$47,$A26-GRAPH!D20),0)*GRAPH!D12+SUMPRODUCT(($D$8:$D$25=REGIONS!$B$9)*($F$8:$F$25+$A$8:$A$25=$A26)*$E$8:$E$25)+SUMPRODUCT(($N$8:$N$25=REGIONS!$B$9)*($P$8:$P$25+$A$8:$A$25=$A26)*$O$8:$O$25)</f>
        <v>0.7705</v>
      </c>
      <c r="AD26" s="28" t="n">
        <f aca="false">CLIMATE!K26+IFERROR(INDEX($W$8:$W$47,$A26-GRAPH!E17),0)*GRAPH!E9+IFERROR(INDEX($X$8:$X$47,$A26-GRAPH!E18),0)*GRAPH!E10+IFERROR(INDEX($Y$8:$Y$47,$A26-GRAPH!E19),0)*GRAPH!E11+IFERROR(INDEX($Z$8:$Z$47,$A26-GRAPH!E20),0)*GRAPH!E12+SUMPRODUCT(($D$8:$D$25=REGIONS!$B$10)*($F$8:$F$25+$A$8:$A$25=$A26)*$E$8:$E$25)+SUMPRODUCT(($N$8:$N$25=REGIONS!$B$10)*($P$8:$P$25+$A$8:$A$25=$A26)*$O$8:$O$25)</f>
        <v>0.0483999999999999</v>
      </c>
      <c r="AE26" s="28" t="n">
        <f aca="false">CLIMATE!L26+IFERROR(INDEX($W$8:$W$47,$A26-GRAPH!F17),0)*GRAPH!F9+IFERROR(INDEX($X$8:$X$47,$A26-GRAPH!F18),0)*GRAPH!F10+IFERROR(INDEX($Y$8:$Y$47,$A26-GRAPH!F19),0)*GRAPH!F11+IFERROR(INDEX($Z$8:$Z$47,$A26-GRAPH!F20),0)*GRAPH!F12+SUMPRODUCT(($D$8:$D$25=REGIONS!$B$11)*($F$8:$F$25+$A$8:$A$25=$A26)*$E$8:$E$25)+SUMPRODUCT(($N$8:$N$25=REGIONS!$B$11)*($P$8:$P$25+$A$8:$A$25=$A26)*$O$8:$O$25)</f>
        <v>-0.6095</v>
      </c>
      <c r="AF26" s="28" t="n">
        <f aca="false">CLIMATE!M26+IFERROR(INDEX($W$8:$W$47,$A26-GRAPH!G17),0)*GRAPH!G9+IFERROR(INDEX($X$8:$X$47,$A26-GRAPH!G18),0)*GRAPH!G10+IFERROR(INDEX($Y$8:$Y$47,$A26-GRAPH!G19),0)*GRAPH!G11+IFERROR(INDEX($Z$8:$Z$47,$A26-GRAPH!G20),0)*GRAPH!G12+SUMPRODUCT(($D$8:$D$25=REGIONS!$B$12)*($F$8:$F$25+$A$8:$A$25=$A26)*$E$8:$E$25)+SUMPRODUCT(($N$8:$N$25=REGIONS!$B$12)*($P$8:$P$25+$A$8:$A$25=$A26)*$O$8:$O$25)</f>
        <v>-1.2161</v>
      </c>
      <c r="AG26" s="28" t="n">
        <f aca="false">CLIMATE!N26+IFERROR(INDEX($W$8:$W$47,$A26-GRAPH!H17),0)*GRAPH!H9+IFERROR(INDEX($X$8:$X$47,$A26-GRAPH!H18),0)*GRAPH!H10+IFERROR(INDEX($Y$8:$Y$47,$A26-GRAPH!H19),0)*GRAPH!H11+IFERROR(INDEX($Z$8:$Z$47,$A26-GRAPH!H20),0)*GRAPH!H12+SUMPRODUCT(($D$8:$D$25=REGIONS!$B$13)*($F$8:$F$25+$A$8:$A$25=$A26)*$E$8:$E$25)+SUMPRODUCT(($N$8:$N$25=REGIONS!$B$13)*($P$8:$P$25+$A$8:$A$25=$A26)*$O$8:$O$25)</f>
        <v>-0.5162</v>
      </c>
      <c r="AH26" s="28" t="n">
        <f aca="false">CLIMATE!O26+IFERROR(INDEX($W$8:$W$47,$A26-GRAPH!I17),0)*GRAPH!I9+IFERROR(INDEX($X$8:$X$47,$A26-GRAPH!I18),0)*GRAPH!I10+IFERROR(INDEX($Y$8:$Y$47,$A26-GRAPH!I19),0)*GRAPH!I11+IFERROR(INDEX($Z$8:$Z$47,$A26-GRAPH!I20),0)*GRAPH!I12+SUMPRODUCT(($D$8:$D$25=REGIONS!$B$14)*($F$8:$F$25+$A$8:$A$25=$A26)*$E$8:$E$25)+SUMPRODUCT(($N$8:$N$25=REGIONS!$B$14)*($P$8:$P$25+$A$8:$A$25=$A26)*$O$8:$O$25)</f>
        <v>1.1974</v>
      </c>
      <c r="AI26" s="28" t="n">
        <f aca="false">REGIONS!$F$7*(1+ASSUMPTIONS!$B$19*$A26)</f>
        <v>0.8912</v>
      </c>
      <c r="AJ26" s="28" t="n">
        <f aca="false">REGIONS!$F$8*(1+ASSUMPTIONS!$B$19*$A26)</f>
        <v>1.0026</v>
      </c>
      <c r="AK26" s="28" t="n">
        <f aca="false">REGIONS!$F$9*(1+ASSUMPTIONS!$B$19*$A26)</f>
        <v>1.0026</v>
      </c>
      <c r="AL26" s="28" t="n">
        <f aca="false">REGIONS!$F$10*(1+ASSUMPTIONS!$B$19*$A26)</f>
        <v>0.7798</v>
      </c>
      <c r="AM26" s="28" t="n">
        <f aca="false">REGIONS!$F$11*(1+ASSUMPTIONS!$B$19*$A26)</f>
        <v>0.7798</v>
      </c>
      <c r="AN26" s="28" t="n">
        <f aca="false">REGIONS!$F$12*(1+ASSUMPTIONS!$B$19*$A26)</f>
        <v>1.2254</v>
      </c>
      <c r="AO26" s="28" t="n">
        <f aca="false">REGIONS!$F$13*(1+ASSUMPTIONS!$B$19*$A26)</f>
        <v>1.3368</v>
      </c>
      <c r="AP26" s="28" t="n">
        <f aca="false">REGIONS!$F$14*(1+ASSUMPTIONS!$B$19*$A26)</f>
        <v>1.3368</v>
      </c>
      <c r="AQ26" s="11" t="n">
        <f aca="false">SUMPRODUCT(($D$8:$D$47=REGIONS!$B$7)*($A$8:$A$47&lt;=$A26)*$L$8:$L$47)+SUMPRODUCT(($N$8:$N$47=REGIONS!$B$7)*($A$8:$A$47&lt;=$A26)*$V$8:$V$47)</f>
        <v>0</v>
      </c>
      <c r="AR26" s="11" t="n">
        <f aca="false">SUMPRODUCT(($D$8:$D$47=REGIONS!$B$8)*($A$8:$A$47&lt;=$A26)*$L$8:$L$47)+SUMPRODUCT(($N$8:$N$47=REGIONS!$B$8)*($A$8:$A$47&lt;=$A26)*$V$8:$V$47)</f>
        <v>0</v>
      </c>
      <c r="AS26" s="11" t="n">
        <f aca="false">SUMPRODUCT(($D$8:$D$47=REGIONS!$B$9)*($A$8:$A$47&lt;=$A26)*$L$8:$L$47)+SUMPRODUCT(($N$8:$N$47=REGIONS!$B$9)*($A$8:$A$47&lt;=$A26)*$V$8:$V$47)</f>
        <v>0</v>
      </c>
      <c r="AT26" s="11" t="n">
        <f aca="false">SUMPRODUCT(($D$8:$D$47=REGIONS!$B$10)*($A$8:$A$47&lt;=$A26)*$L$8:$L$47)+SUMPRODUCT(($N$8:$N$47=REGIONS!$B$10)*($A$8:$A$47&lt;=$A26)*$V$8:$V$47)</f>
        <v>0</v>
      </c>
      <c r="AU26" s="11" t="n">
        <f aca="false">SUMPRODUCT(($D$8:$D$47=REGIONS!$B$11)*($A$8:$A$47&lt;=$A26)*$L$8:$L$47)+SUMPRODUCT(($N$8:$N$47=REGIONS!$B$11)*($A$8:$A$47&lt;=$A26)*$V$8:$V$47)</f>
        <v>0</v>
      </c>
      <c r="AV26" s="11" t="n">
        <f aca="false">SUMPRODUCT(($D$8:$D$47=REGIONS!$B$12)*($A$8:$A$47&lt;=$A26)*$L$8:$L$47)+SUMPRODUCT(($N$8:$N$47=REGIONS!$B$12)*($A$8:$A$47&lt;=$A26)*$V$8:$V$47)</f>
        <v>0</v>
      </c>
      <c r="AW26" s="11" t="n">
        <f aca="false">SUMPRODUCT(($D$8:$D$47=REGIONS!$B$13)*($A$8:$A$47&lt;=$A26)*$L$8:$L$47)+SUMPRODUCT(($N$8:$N$47=REGIONS!$B$13)*($A$8:$A$47&lt;=$A26)*$V$8:$V$47)</f>
        <v>0</v>
      </c>
      <c r="AX26" s="11" t="n">
        <f aca="false">SUMPRODUCT(($D$8:$D$47=REGIONS!$B$14)*($A$8:$A$47&lt;=$A26)*$L$8:$L$47)+SUMPRODUCT(($N$8:$N$47=REGIONS!$B$14)*($A$8:$A$47&lt;=$A26)*$V$8:$V$47)</f>
        <v>0</v>
      </c>
      <c r="AY26" s="12" t="n">
        <f aca="false">MAX(0,MIN(135,100-(MAX(0,-$AA26)*REGIONS!$E$7*ASSUMPTIONS!$B$7+MAX(0,$AA26-ASSUMPTIONS!$B$9)*REGIONS!$E$7*ASSUMPTIONS!$B$8)*(1-$AQ26/100)))</f>
        <v>100</v>
      </c>
      <c r="AZ26" s="12" t="n">
        <f aca="false">MAX(0,MIN(135,100-(MAX(0,-$AB26)*REGIONS!$E$8*ASSUMPTIONS!$B$7+MAX(0,$AB26-ASSUMPTIONS!$B$9)*REGIONS!$E$8*ASSUMPTIONS!$B$8)*(1-$AR26/100)))</f>
        <v>98.49542</v>
      </c>
      <c r="BA26" s="12" t="n">
        <f aca="false">MAX(0,MIN(135,100-(MAX(0,-$AC26)*REGIONS!$E$9*ASSUMPTIONS!$B$7+MAX(0,$AC26-ASSUMPTIONS!$B$9)*REGIONS!$E$9*ASSUMPTIONS!$B$8)*(1-$AS26/100)))</f>
        <v>100</v>
      </c>
      <c r="BB26" s="12" t="n">
        <f aca="false">MAX(0,MIN(135,100-(MAX(0,-$AD26)*REGIONS!$E$10*ASSUMPTIONS!$B$7+MAX(0,$AD26-ASSUMPTIONS!$B$9)*REGIONS!$E$10*ASSUMPTIONS!$B$8)*(1-$AT26/100)))</f>
        <v>100</v>
      </c>
      <c r="BC26" s="12" t="n">
        <f aca="false">MAX(0,MIN(135,100-(MAX(0,-$AE26)*REGIONS!$E$11*ASSUMPTIONS!$B$7+MAX(0,$AE26-ASSUMPTIONS!$B$9)*REGIONS!$E$11*ASSUMPTIONS!$B$8)*(1-$AU26/100)))</f>
        <v>90.6137</v>
      </c>
      <c r="BD26" s="12" t="n">
        <f aca="false">MAX(0,MIN(135,100-(MAX(0,-$AF26)*REGIONS!$E$12*ASSUMPTIONS!$B$7+MAX(0,$AF26-ASSUMPTIONS!$B$9)*REGIONS!$E$12*ASSUMPTIONS!$B$8)*(1-$AV26/100)))</f>
        <v>77.86698</v>
      </c>
      <c r="BE26" s="12" t="n">
        <f aca="false">MAX(0,MIN(135,100-(MAX(0,-$AG26)*REGIONS!$E$13*ASSUMPTIONS!$B$7+MAX(0,$AG26-ASSUMPTIONS!$B$9)*REGIONS!$E$13*ASSUMPTIONS!$B$8)*(1-$AW26/100)))</f>
        <v>89.88248</v>
      </c>
      <c r="BF26" s="12" t="n">
        <f aca="false">MAX(0,MIN(135,100-(MAX(0,-$AH26)*REGIONS!$E$14*ASSUMPTIONS!$B$7+MAX(0,$AH26-ASSUMPTIONS!$B$9)*REGIONS!$E$14*ASSUMPTIONS!$B$8)*(1-$AX26/100)))</f>
        <v>100</v>
      </c>
      <c r="BG26" s="12" t="n">
        <f aca="false">$AY26*REGIONS!$D$7/100+$AZ26*REGIONS!$D$8/100+$BA26*REGIONS!$D$9/100+$BB26*REGIONS!$D$10/100+$BC26*REGIONS!$D$11/100+$BD26*REGIONS!$D$12/100+$BE26*REGIONS!$D$13/100+$BF26*REGIONS!$D$14/100</f>
        <v>96.4765486</v>
      </c>
      <c r="BH26" s="12" t="n">
        <f aca="false">100*(100/MAX(1,$BG26))^ASSUMPTIONS!$B$10</f>
        <v>106.669641345141</v>
      </c>
      <c r="BI26" s="12" t="n">
        <f aca="false">$AY26*$BH26/100*ASSUMPTIONS!$B$11</f>
        <v>90.6691951433695</v>
      </c>
      <c r="BJ26" s="28" t="n">
        <f aca="false">MAX(0,ABS($AA26)-$AI26*ASSUMPTIONS!$B$24)*REGIONS!$D$7/100+MAX(0,ABS($AB26)-$AJ26*ASSUMPTIONS!$B$24)*REGIONS!$D$8/100+MAX(0,ABS($AC26)-$AK26*ASSUMPTIONS!$B$24)*REGIONS!$D$9/100+MAX(0,ABS($AD26)-$AL26*ASSUMPTIONS!$B$24)*REGIONS!$D$10/100+MAX(0,ABS($AE26)-$AM26*ASSUMPTIONS!$B$24)*REGIONS!$D$11/100+MAX(0,ABS($AF26)-$AN26*ASSUMPTIONS!$B$24)*REGIONS!$D$12/100+MAX(0,ABS($AG26)-$AO26*ASSUMPTIONS!$B$24)*REGIONS!$D$13/100+MAX(0,ABS($AH26)-$AP26*ASSUMPTIONS!$B$24)*REGIONS!$D$14/100</f>
        <v>0.038222</v>
      </c>
      <c r="BK26" s="12" t="n">
        <f aca="false">MIN(ASSUMPTIONS!$B$14,ASSUMPTIONS!$B$12+$BJ26*ASSUMPTIONS!$B$13)</f>
        <v>29.605324</v>
      </c>
      <c r="BL26" s="11" t="n">
        <f aca="false">$H26+$R26</f>
        <v>0</v>
      </c>
      <c r="BM26" s="11" t="n">
        <f aca="false">PLAY!$H26</f>
        <v>0</v>
      </c>
      <c r="BN26" s="12" t="n">
        <f aca="false">$BI26*ASSUMPTIONS!$B$15+$BK26*ASSUMPTIONS!$B$16</f>
        <v>37.5250950172043</v>
      </c>
      <c r="BO26" s="12" t="n">
        <f aca="false">$BO25+$BN26-$BL26-$BM26-ASSUMPTIONS!$B$23</f>
        <v>203.957061750668</v>
      </c>
      <c r="BP26" s="12" t="n">
        <f aca="false">(SUMPRODUCT(($F$8:$F$25+$A$8:$A$25=$A26)*($C$8:$C$25&lt;&gt;"NONE")*$G$8:$G$25)+SUMPRODUCT(($P$8:$P$25+$A$8:$A$25=$A26)*($M$8:$M$25&lt;&gt;"NONE")*$Q$8:$Q$25))*(1+ASSUMPTIONS!$B$22*(MAX(0,ABS($AA26)/$AI26-1)+MAX(0,ABS($AB26)/$AJ26-1)+MAX(0,ABS($AC26)/$AK26-1)+MAX(0,ABS($AD26)/$AL26-1)+MAX(0,ABS($AE26)/$AM26-1)+MAX(0,ABS($AF26)/$AN26-1)+MAX(0,ABS($AG26)/$AO26-1)+MAX(0,ABS($AH26)/$AP26-1))/8)</f>
        <v>0</v>
      </c>
      <c r="BQ26" s="12" t="n">
        <f aca="false">MAX(0,$BQ25*(1-ASSUMPTIONS!$B$18)+$BP26-$BM26*ASSUMPTIONS!$B$17)</f>
        <v>1.05514173311405</v>
      </c>
    </row>
    <row r="27" customFormat="false" ht="15" hidden="false" customHeight="false" outlineLevel="0" collapsed="false">
      <c r="A27" s="13" t="n">
        <v>20</v>
      </c>
      <c r="B27" s="11" t="n">
        <f aca="false">CLIMATE!B27</f>
        <v>1950</v>
      </c>
      <c r="C27" s="13" t="str">
        <f aca="false">IFERROR(INDEX(CAPABILITIES!$B$7:$B$15,MATCH(PLAY!$D27,CAPABILITIES!$A$7:$A$15,0)),"NONE")</f>
        <v>NONE</v>
      </c>
      <c r="D27" s="13" t="n">
        <f aca="false">IFERROR(IF(INDEX(CAPABILITIES!$B$7:$B$15,MATCH(PLAY!$D27,CAPABILITIES!$A$7:$A$15,0))="DRIVER",INDEX(CAPABILITIES!$C$7:$C$15,MATCH(PLAY!$D27,CAPABILITIES!$A$7:$A$15,0)),PLAY!$E27),"")</f>
        <v>0</v>
      </c>
      <c r="E27" s="13" t="n">
        <f aca="false">IFERROR(INDEX(CAPABILITIES!$D$7:$D$15,MATCH(PLAY!$D27,CAPABILITIES!$A$7:$A$15,0))*IF(INDEX(CAPABILITIES!$K$7:$K$15,MATCH(PLAY!$D27,CAPABILITIES!$A$7:$A$15,0))="Y",IF(IFERROR(INDEX($AA26:$AH26,MATCH(PLAY!$E27,REGIONS!$B$7:$B$14,0)),0)&lt;ASSUMPTIONS!$B$20,1,ASSUMPTIONS!$B$21),1),0)</f>
        <v>0</v>
      </c>
      <c r="F27" s="13" t="n">
        <f aca="false">IFERROR(INDEX(CAPABILITIES!$E$7:$E$15,MATCH(PLAY!$D27,CAPABILITIES!$A$7:$A$15,0)),0)</f>
        <v>0</v>
      </c>
      <c r="G27" s="13" t="n">
        <f aca="false">IFERROR(INDEX(CAPABILITIES!$F$7:$F$15,MATCH(PLAY!$D27,CAPABILITIES!$A$7:$A$15,0)),0)</f>
        <v>0</v>
      </c>
      <c r="H27" s="13" t="n">
        <f aca="false">IFERROR(INDEX(CAPABILITIES!$G$7:$G$15,MATCH(PLAY!$D27,CAPABILITIES!$A$7:$A$15,0)),0)</f>
        <v>0</v>
      </c>
      <c r="I27" s="13" t="n">
        <f aca="false">IFERROR(INDEX(CAPABILITIES!$H$7:$H$15,MATCH(PLAY!$D27,CAPABILITIES!$A$7:$A$15,0)),"")</f>
        <v>0</v>
      </c>
      <c r="J27" s="13" t="n">
        <f aca="false">IFERROR(INDEX(CAPABILITIES!$D$7:$D$15,MATCH(PLAY!$D27,CAPABILITIES!$A$7:$A$15,0))*INDEX(CAPABILITIES!$I$7:$I$15,MATCH(PLAY!$D27,CAPABILITIES!$A$7:$A$15,0)),0)</f>
        <v>0</v>
      </c>
      <c r="K27" s="13" t="n">
        <f aca="false">IFERROR(INDEX(CAPABILITIES!$E$7:$E$15,MATCH(PLAY!$D27,CAPABILITIES!$A$7:$A$15,0))+INDEX(CAPABILITIES!$J$7:$J$15,MATCH(PLAY!$D27,CAPABILITIES!$A$7:$A$15,0)),0)</f>
        <v>0</v>
      </c>
      <c r="L27" s="13" t="n">
        <f aca="false">IFERROR(INDEX(CAPABILITIES!$L$7:$L$15,MATCH(PLAY!$D27,CAPABILITIES!$A$7:$A$15,0)),0)</f>
        <v>0</v>
      </c>
      <c r="M27" s="13" t="str">
        <f aca="false">IFERROR(INDEX(CAPABILITIES!$B$7:$B$15,MATCH(PLAY!$F27,CAPABILITIES!$A$7:$A$15,0)),"NONE")</f>
        <v>NONE</v>
      </c>
      <c r="N27" s="13" t="n">
        <f aca="false">IFERROR(IF(INDEX(CAPABILITIES!$B$7:$B$15,MATCH(PLAY!$F27,CAPABILITIES!$A$7:$A$15,0))="DRIVER",INDEX(CAPABILITIES!$C$7:$C$15,MATCH(PLAY!$F27,CAPABILITIES!$A$7:$A$15,0)),PLAY!$G27),"")</f>
        <v>0</v>
      </c>
      <c r="O27" s="13" t="n">
        <f aca="false">IFERROR(INDEX(CAPABILITIES!$D$7:$D$15,MATCH(PLAY!$F27,CAPABILITIES!$A$7:$A$15,0))*IF(INDEX(CAPABILITIES!$K$7:$K$15,MATCH(PLAY!$F27,CAPABILITIES!$A$7:$A$15,0))="Y",IF(IFERROR(INDEX($AA26:$AH26,MATCH(PLAY!$G27,REGIONS!$B$7:$B$14,0)),0)&lt;ASSUMPTIONS!$B$20,1,ASSUMPTIONS!$B$21),1),0)</f>
        <v>0</v>
      </c>
      <c r="P27" s="13" t="n">
        <f aca="false">IFERROR(INDEX(CAPABILITIES!$E$7:$E$15,MATCH(PLAY!$F27,CAPABILITIES!$A$7:$A$15,0)),0)</f>
        <v>0</v>
      </c>
      <c r="Q27" s="13" t="n">
        <f aca="false">IFERROR(INDEX(CAPABILITIES!$F$7:$F$15,MATCH(PLAY!$F27,CAPABILITIES!$A$7:$A$15,0)),0)</f>
        <v>0</v>
      </c>
      <c r="R27" s="13" t="n">
        <f aca="false">IFERROR(INDEX(CAPABILITIES!$G$7:$G$15,MATCH(PLAY!$F27,CAPABILITIES!$A$7:$A$15,0)),0)</f>
        <v>0</v>
      </c>
      <c r="S27" s="13" t="n">
        <f aca="false">IFERROR(INDEX(CAPABILITIES!$H$7:$H$15,MATCH(PLAY!$F27,CAPABILITIES!$A$7:$A$15,0)),"")</f>
        <v>0</v>
      </c>
      <c r="T27" s="13" t="n">
        <f aca="false">IFERROR(INDEX(CAPABILITIES!$D$7:$D$15,MATCH(PLAY!$F27,CAPABILITIES!$A$7:$A$15,0))*INDEX(CAPABILITIES!$I$7:$I$15,MATCH(PLAY!$F27,CAPABILITIES!$A$7:$A$15,0)),0)</f>
        <v>0</v>
      </c>
      <c r="U27" s="13" t="n">
        <f aca="false">IFERROR(INDEX(CAPABILITIES!$E$7:$E$15,MATCH(PLAY!$F27,CAPABILITIES!$A$7:$A$15,0))+INDEX(CAPABILITIES!$J$7:$J$15,MATCH(PLAY!$F27,CAPABILITIES!$A$7:$A$15,0)),0)</f>
        <v>0</v>
      </c>
      <c r="V27" s="13" t="n">
        <f aca="false">IFERROR(INDEX(CAPABILITIES!$L$7:$L$15,MATCH(PLAY!$F27,CAPABILITIES!$A$7:$A$15,0)),0)</f>
        <v>0</v>
      </c>
      <c r="W27" s="28" t="n">
        <f aca="false">CLIMATE!D27+SUMPRODUCT(($D$8:$D$26="ENSO")*($F$8:$F$26+$A$8:$A$26=$A27)*$E$8:$E$26)+SUMPRODUCT(($I$8:$I$26="ENSO")*($K$8:$K$26+$A$8:$A$26=$A27)*$J$8:$J$26)+SUMPRODUCT(($N$8:$N$26="ENSO")*($P$8:$P$26+$A$8:$A$26=$A27)*$O$8:$O$26)+SUMPRODUCT(($S$8:$S$26="ENSO")*($U$8:$U$26+$A$8:$A$26=$A27)*$T$8:$T$26)</f>
        <v>-0.136</v>
      </c>
      <c r="X27" s="28" t="n">
        <f aca="false">CLIMATE!E27+SUMPRODUCT(($D$8:$D$26="IOD")*($F$8:$F$26+$A$8:$A$26=$A27)*$E$8:$E$26)+SUMPRODUCT(($I$8:$I$26="IOD")*($K$8:$K$26+$A$8:$A$26=$A27)*$J$8:$J$26)+SUMPRODUCT(($N$8:$N$26="IOD")*($P$8:$P$26+$A$8:$A$26=$A27)*$O$8:$O$26)+SUMPRODUCT(($S$8:$S$26="IOD")*($U$8:$U$26+$A$8:$A$26=$A27)*$T$8:$T$26)</f>
        <v>-0.728</v>
      </c>
      <c r="Y27" s="28" t="n">
        <f aca="false">CLIMATE!F27+SUMPRODUCT(($D$8:$D$26="NATL")*($F$8:$F$26+$A$8:$A$26=$A27)*$E$8:$E$26)+SUMPRODUCT(($I$8:$I$26="NATL")*($K$8:$K$26+$A$8:$A$26=$A27)*$J$8:$J$26)+SUMPRODUCT(($N$8:$N$26="NATL")*($P$8:$P$26+$A$8:$A$26=$A27)*$O$8:$O$26)+SUMPRODUCT(($S$8:$S$26="NATL")*($U$8:$U$26+$A$8:$A$26=$A27)*$T$8:$T$26)</f>
        <v>-1.053</v>
      </c>
      <c r="Z27" s="28" t="n">
        <f aca="false">CLIMATE!G27+SUMPRODUCT(($D$8:$D$26="GLOBAL")*($F$8:$F$26+$A$8:$A$26=$A27)*$E$8:$E$26)+SUMPRODUCT(($I$8:$I$26="GLOBAL")*($K$8:$K$26+$A$8:$A$26=$A27)*$J$8:$J$26)+SUMPRODUCT(($N$8:$N$26="GLOBAL")*($P$8:$P$26+$A$8:$A$26=$A27)*$O$8:$O$26)+SUMPRODUCT(($S$8:$S$26="GLOBAL")*($U$8:$U$26+$A$8:$A$26=$A27)*$T$8:$T$26)</f>
        <v>0</v>
      </c>
      <c r="AA27" s="28" t="n">
        <f aca="false">CLIMATE!H27+IFERROR(INDEX($W$8:$W$47,$A27-GRAPH!B17),0)*GRAPH!B9+IFERROR(INDEX($X$8:$X$47,$A27-GRAPH!B18),0)*GRAPH!B10+IFERROR(INDEX($Y$8:$Y$47,$A27-GRAPH!B19),0)*GRAPH!B11+IFERROR(INDEX($Z$8:$Z$47,$A27-GRAPH!B20),0)*GRAPH!B12+SUMPRODUCT(($D$8:$D$26=REGIONS!$B$7)*($F$8:$F$26+$A$8:$A$26=$A27)*$E$8:$E$26)+SUMPRODUCT(($N$8:$N$26=REGIONS!$B$7)*($P$8:$P$26+$A$8:$A$26=$A27)*$O$8:$O$26)</f>
        <v>0.2762</v>
      </c>
      <c r="AB27" s="28" t="n">
        <f aca="false">CLIMATE!I27+IFERROR(INDEX($W$8:$W$47,$A27-GRAPH!C17),0)*GRAPH!C9+IFERROR(INDEX($X$8:$X$47,$A27-GRAPH!C18),0)*GRAPH!C10+IFERROR(INDEX($Y$8:$Y$47,$A27-GRAPH!C19),0)*GRAPH!C11+IFERROR(INDEX($Z$8:$Z$47,$A27-GRAPH!C20),0)*GRAPH!C12+SUMPRODUCT(($D$8:$D$26=REGIONS!$B$8)*($F$8:$F$26+$A$8:$A$26=$A27)*$E$8:$E$26)+SUMPRODUCT(($N$8:$N$26=REGIONS!$B$8)*($P$8:$P$26+$A$8:$A$26=$A27)*$O$8:$O$26)</f>
        <v>-0.2965</v>
      </c>
      <c r="AC27" s="28" t="n">
        <f aca="false">CLIMATE!J27+IFERROR(INDEX($W$8:$W$47,$A27-GRAPH!D17),0)*GRAPH!D9+IFERROR(INDEX($X$8:$X$47,$A27-GRAPH!D18),0)*GRAPH!D10+IFERROR(INDEX($Y$8:$Y$47,$A27-GRAPH!D19),0)*GRAPH!D11+IFERROR(INDEX($Z$8:$Z$47,$A27-GRAPH!D20),0)*GRAPH!D12+SUMPRODUCT(($D$8:$D$26=REGIONS!$B$9)*($F$8:$F$26+$A$8:$A$26=$A27)*$E$8:$E$26)+SUMPRODUCT(($N$8:$N$26=REGIONS!$B$9)*($P$8:$P$26+$A$8:$A$26=$A27)*$O$8:$O$26)</f>
        <v>0.3275</v>
      </c>
      <c r="AD27" s="28" t="n">
        <f aca="false">CLIMATE!K27+IFERROR(INDEX($W$8:$W$47,$A27-GRAPH!E17),0)*GRAPH!E9+IFERROR(INDEX($X$8:$X$47,$A27-GRAPH!E18),0)*GRAPH!E10+IFERROR(INDEX($Y$8:$Y$47,$A27-GRAPH!E19),0)*GRAPH!E11+IFERROR(INDEX($Z$8:$Z$47,$A27-GRAPH!E20),0)*GRAPH!E12+SUMPRODUCT(($D$8:$D$26=REGIONS!$B$10)*($F$8:$F$26+$A$8:$A$26=$A27)*$E$8:$E$26)+SUMPRODUCT(($N$8:$N$26=REGIONS!$B$10)*($P$8:$P$26+$A$8:$A$26=$A27)*$O$8:$O$26)</f>
        <v>-0.0455</v>
      </c>
      <c r="AE27" s="28" t="n">
        <f aca="false">CLIMATE!L27+IFERROR(INDEX($W$8:$W$47,$A27-GRAPH!F17),0)*GRAPH!F9+IFERROR(INDEX($X$8:$X$47,$A27-GRAPH!F18),0)*GRAPH!F10+IFERROR(INDEX($Y$8:$Y$47,$A27-GRAPH!F19),0)*GRAPH!F11+IFERROR(INDEX($Z$8:$Z$47,$A27-GRAPH!F20),0)*GRAPH!F12+SUMPRODUCT(($D$8:$D$26=REGIONS!$B$11)*($F$8:$F$26+$A$8:$A$26=$A27)*$E$8:$E$26)+SUMPRODUCT(($N$8:$N$26=REGIONS!$B$11)*($P$8:$P$26+$A$8:$A$26=$A27)*$O$8:$O$26)</f>
        <v>-0.0458</v>
      </c>
      <c r="AF27" s="28" t="n">
        <f aca="false">CLIMATE!M27+IFERROR(INDEX($W$8:$W$47,$A27-GRAPH!G17),0)*GRAPH!G9+IFERROR(INDEX($X$8:$X$47,$A27-GRAPH!G18),0)*GRAPH!G10+IFERROR(INDEX($Y$8:$Y$47,$A27-GRAPH!G19),0)*GRAPH!G11+IFERROR(INDEX($Z$8:$Z$47,$A27-GRAPH!G20),0)*GRAPH!G12+SUMPRODUCT(($D$8:$D$26=REGIONS!$B$12)*($F$8:$F$26+$A$8:$A$26=$A27)*$E$8:$E$26)+SUMPRODUCT(($N$8:$N$26=REGIONS!$B$12)*($P$8:$P$26+$A$8:$A$26=$A27)*$O$8:$O$26)</f>
        <v>-0.1674</v>
      </c>
      <c r="AG27" s="28" t="n">
        <f aca="false">CLIMATE!N27+IFERROR(INDEX($W$8:$W$47,$A27-GRAPH!H17),0)*GRAPH!H9+IFERROR(INDEX($X$8:$X$47,$A27-GRAPH!H18),0)*GRAPH!H10+IFERROR(INDEX($Y$8:$Y$47,$A27-GRAPH!H19),0)*GRAPH!H11+IFERROR(INDEX($Z$8:$Z$47,$A27-GRAPH!H20),0)*GRAPH!H12+SUMPRODUCT(($D$8:$D$26=REGIONS!$B$13)*($F$8:$F$26+$A$8:$A$26=$A27)*$E$8:$E$26)+SUMPRODUCT(($N$8:$N$26=REGIONS!$B$13)*($P$8:$P$26+$A$8:$A$26=$A27)*$O$8:$O$26)</f>
        <v>-0.549</v>
      </c>
      <c r="AH27" s="28" t="n">
        <f aca="false">CLIMATE!O27+IFERROR(INDEX($W$8:$W$47,$A27-GRAPH!I17),0)*GRAPH!I9+IFERROR(INDEX($X$8:$X$47,$A27-GRAPH!I18),0)*GRAPH!I10+IFERROR(INDEX($Y$8:$Y$47,$A27-GRAPH!I19),0)*GRAPH!I11+IFERROR(INDEX($Z$8:$Z$47,$A27-GRAPH!I20),0)*GRAPH!I12+SUMPRODUCT(($D$8:$D$26=REGIONS!$B$14)*($F$8:$F$26+$A$8:$A$26=$A27)*$E$8:$E$26)+SUMPRODUCT(($N$8:$N$26=REGIONS!$B$14)*($P$8:$P$26+$A$8:$A$26=$A27)*$O$8:$O$26)</f>
        <v>0.2874</v>
      </c>
      <c r="AI27" s="28" t="n">
        <f aca="false">REGIONS!$F$7*(1+ASSUMPTIONS!$B$19*$A27)</f>
        <v>0.896</v>
      </c>
      <c r="AJ27" s="28" t="n">
        <f aca="false">REGIONS!$F$8*(1+ASSUMPTIONS!$B$19*$A27)</f>
        <v>1.008</v>
      </c>
      <c r="AK27" s="28" t="n">
        <f aca="false">REGIONS!$F$9*(1+ASSUMPTIONS!$B$19*$A27)</f>
        <v>1.008</v>
      </c>
      <c r="AL27" s="28" t="n">
        <f aca="false">REGIONS!$F$10*(1+ASSUMPTIONS!$B$19*$A27)</f>
        <v>0.784</v>
      </c>
      <c r="AM27" s="28" t="n">
        <f aca="false">REGIONS!$F$11*(1+ASSUMPTIONS!$B$19*$A27)</f>
        <v>0.784</v>
      </c>
      <c r="AN27" s="28" t="n">
        <f aca="false">REGIONS!$F$12*(1+ASSUMPTIONS!$B$19*$A27)</f>
        <v>1.232</v>
      </c>
      <c r="AO27" s="28" t="n">
        <f aca="false">REGIONS!$F$13*(1+ASSUMPTIONS!$B$19*$A27)</f>
        <v>1.344</v>
      </c>
      <c r="AP27" s="28" t="n">
        <f aca="false">REGIONS!$F$14*(1+ASSUMPTIONS!$B$19*$A27)</f>
        <v>1.344</v>
      </c>
      <c r="AQ27" s="11" t="n">
        <f aca="false">SUMPRODUCT(($D$8:$D$47=REGIONS!$B$7)*($A$8:$A$47&lt;=$A27)*$L$8:$L$47)+SUMPRODUCT(($N$8:$N$47=REGIONS!$B$7)*($A$8:$A$47&lt;=$A27)*$V$8:$V$47)</f>
        <v>0</v>
      </c>
      <c r="AR27" s="11" t="n">
        <f aca="false">SUMPRODUCT(($D$8:$D$47=REGIONS!$B$8)*($A$8:$A$47&lt;=$A27)*$L$8:$L$47)+SUMPRODUCT(($N$8:$N$47=REGIONS!$B$8)*($A$8:$A$47&lt;=$A27)*$V$8:$V$47)</f>
        <v>0</v>
      </c>
      <c r="AS27" s="11" t="n">
        <f aca="false">SUMPRODUCT(($D$8:$D$47=REGIONS!$B$9)*($A$8:$A$47&lt;=$A27)*$L$8:$L$47)+SUMPRODUCT(($N$8:$N$47=REGIONS!$B$9)*($A$8:$A$47&lt;=$A27)*$V$8:$V$47)</f>
        <v>0</v>
      </c>
      <c r="AT27" s="11" t="n">
        <f aca="false">SUMPRODUCT(($D$8:$D$47=REGIONS!$B$10)*($A$8:$A$47&lt;=$A27)*$L$8:$L$47)+SUMPRODUCT(($N$8:$N$47=REGIONS!$B$10)*($A$8:$A$47&lt;=$A27)*$V$8:$V$47)</f>
        <v>0</v>
      </c>
      <c r="AU27" s="11" t="n">
        <f aca="false">SUMPRODUCT(($D$8:$D$47=REGIONS!$B$11)*($A$8:$A$47&lt;=$A27)*$L$8:$L$47)+SUMPRODUCT(($N$8:$N$47=REGIONS!$B$11)*($A$8:$A$47&lt;=$A27)*$V$8:$V$47)</f>
        <v>0</v>
      </c>
      <c r="AV27" s="11" t="n">
        <f aca="false">SUMPRODUCT(($D$8:$D$47=REGIONS!$B$12)*($A$8:$A$47&lt;=$A27)*$L$8:$L$47)+SUMPRODUCT(($N$8:$N$47=REGIONS!$B$12)*($A$8:$A$47&lt;=$A27)*$V$8:$V$47)</f>
        <v>0</v>
      </c>
      <c r="AW27" s="11" t="n">
        <f aca="false">SUMPRODUCT(($D$8:$D$47=REGIONS!$B$13)*($A$8:$A$47&lt;=$A27)*$L$8:$L$47)+SUMPRODUCT(($N$8:$N$47=REGIONS!$B$13)*($A$8:$A$47&lt;=$A27)*$V$8:$V$47)</f>
        <v>0</v>
      </c>
      <c r="AX27" s="11" t="n">
        <f aca="false">SUMPRODUCT(($D$8:$D$47=REGIONS!$B$14)*($A$8:$A$47&lt;=$A27)*$L$8:$L$47)+SUMPRODUCT(($N$8:$N$47=REGIONS!$B$14)*($A$8:$A$47&lt;=$A27)*$V$8:$V$47)</f>
        <v>0</v>
      </c>
      <c r="AY27" s="12" t="n">
        <f aca="false">MAX(0,MIN(135,100-(MAX(0,-$AA27)*REGIONS!$E$7*ASSUMPTIONS!$B$7+MAX(0,$AA27-ASSUMPTIONS!$B$9)*REGIONS!$E$7*ASSUMPTIONS!$B$8)*(1-$AQ27/100)))</f>
        <v>100</v>
      </c>
      <c r="AZ27" s="12" t="n">
        <f aca="false">MAX(0,MIN(135,100-(MAX(0,-$AB27)*REGIONS!$E$8*ASSUMPTIONS!$B$7+MAX(0,$AB27-ASSUMPTIONS!$B$9)*REGIONS!$E$8*ASSUMPTIONS!$B$8)*(1-$AR27/100)))</f>
        <v>95.4339</v>
      </c>
      <c r="BA27" s="12" t="n">
        <f aca="false">MAX(0,MIN(135,100-(MAX(0,-$AC27)*REGIONS!$E$9*ASSUMPTIONS!$B$7+MAX(0,$AC27-ASSUMPTIONS!$B$9)*REGIONS!$E$9*ASSUMPTIONS!$B$8)*(1-$AS27/100)))</f>
        <v>100</v>
      </c>
      <c r="BB27" s="12" t="n">
        <f aca="false">MAX(0,MIN(135,100-(MAX(0,-$AD27)*REGIONS!$E$10*ASSUMPTIONS!$B$7+MAX(0,$AD27-ASSUMPTIONS!$B$9)*REGIONS!$E$10*ASSUMPTIONS!$B$8)*(1-$AT27/100)))</f>
        <v>99.2356</v>
      </c>
      <c r="BC27" s="12" t="n">
        <f aca="false">MAX(0,MIN(135,100-(MAX(0,-$AE27)*REGIONS!$E$11*ASSUMPTIONS!$B$7+MAX(0,$AE27-ASSUMPTIONS!$B$9)*REGIONS!$E$11*ASSUMPTIONS!$B$8)*(1-$AU27/100)))</f>
        <v>99.29468</v>
      </c>
      <c r="BD27" s="12" t="n">
        <f aca="false">MAX(0,MIN(135,100-(MAX(0,-$AF27)*REGIONS!$E$12*ASSUMPTIONS!$B$7+MAX(0,$AF27-ASSUMPTIONS!$B$9)*REGIONS!$E$12*ASSUMPTIONS!$B$8)*(1-$AV27/100)))</f>
        <v>96.95332</v>
      </c>
      <c r="BE27" s="12" t="n">
        <f aca="false">MAX(0,MIN(135,100-(MAX(0,-$AG27)*REGIONS!$E$13*ASSUMPTIONS!$B$7+MAX(0,$AG27-ASSUMPTIONS!$B$9)*REGIONS!$E$13*ASSUMPTIONS!$B$8)*(1-$AW27/100)))</f>
        <v>89.2396</v>
      </c>
      <c r="BF27" s="12" t="n">
        <f aca="false">MAX(0,MIN(135,100-(MAX(0,-$AH27)*REGIONS!$E$14*ASSUMPTIONS!$B$7+MAX(0,$AH27-ASSUMPTIONS!$B$9)*REGIONS!$E$14*ASSUMPTIONS!$B$8)*(1-$AX27/100)))</f>
        <v>100</v>
      </c>
      <c r="BG27" s="12" t="n">
        <f aca="false">$AY27*REGIONS!$D$7/100+$AZ27*REGIONS!$D$8/100+$BA27*REGIONS!$D$9/100+$BB27*REGIONS!$D$10/100+$BC27*REGIONS!$D$11/100+$BD27*REGIONS!$D$12/100+$BE27*REGIONS!$D$13/100+$BF27*REGIONS!$D$14/100</f>
        <v>98.188302</v>
      </c>
      <c r="BH27" s="12" t="n">
        <f aca="false">100*(100/MAX(1,$BG27))^ASSUMPTIONS!$B$10</f>
        <v>103.345709347208</v>
      </c>
      <c r="BI27" s="12" t="n">
        <f aca="false">$AY27*$BH27/100*ASSUMPTIONS!$B$11</f>
        <v>87.8438529451272</v>
      </c>
      <c r="BJ27" s="28" t="n">
        <f aca="false">MAX(0,ABS($AA27)-$AI27*ASSUMPTIONS!$B$24)*REGIONS!$D$7/100+MAX(0,ABS($AB27)-$AJ27*ASSUMPTIONS!$B$24)*REGIONS!$D$8/100+MAX(0,ABS($AC27)-$AK27*ASSUMPTIONS!$B$24)*REGIONS!$D$9/100+MAX(0,ABS($AD27)-$AL27*ASSUMPTIONS!$B$24)*REGIONS!$D$10/100+MAX(0,ABS($AE27)-$AM27*ASSUMPTIONS!$B$24)*REGIONS!$D$11/100+MAX(0,ABS($AF27)-$AN27*ASSUMPTIONS!$B$24)*REGIONS!$D$12/100+MAX(0,ABS($AG27)-$AO27*ASSUMPTIONS!$B$24)*REGIONS!$D$13/100+MAX(0,ABS($AH27)-$AP27*ASSUMPTIONS!$B$24)*REGIONS!$D$14/100</f>
        <v>0</v>
      </c>
      <c r="BK27" s="12" t="n">
        <f aca="false">MIN(ASSUMPTIONS!$B$14,ASSUMPTIONS!$B$12+$BJ27*ASSUMPTIONS!$B$13)</f>
        <v>28</v>
      </c>
      <c r="BL27" s="11" t="n">
        <f aca="false">$H27+$R27</f>
        <v>0</v>
      </c>
      <c r="BM27" s="11" t="n">
        <f aca="false">PLAY!$H27</f>
        <v>0</v>
      </c>
      <c r="BN27" s="12" t="n">
        <f aca="false">$BI27*ASSUMPTIONS!$B$15+$BK27*ASSUMPTIONS!$B$16</f>
        <v>35.7412623534153</v>
      </c>
      <c r="BO27" s="12" t="n">
        <f aca="false">$BO26+$BN27-$BL27-$BM27-ASSUMPTIONS!$B$23</f>
        <v>207.698324104083</v>
      </c>
      <c r="BP27" s="12" t="n">
        <f aca="false">(SUMPRODUCT(($F$8:$F$26+$A$8:$A$26=$A27)*($C$8:$C$26&lt;&gt;"NONE")*$G$8:$G$26)+SUMPRODUCT(($P$8:$P$26+$A$8:$A$26=$A27)*($M$8:$M$26&lt;&gt;"NONE")*$Q$8:$Q$26))*(1+ASSUMPTIONS!$B$22*(MAX(0,ABS($AA27)/$AI27-1)+MAX(0,ABS($AB27)/$AJ27-1)+MAX(0,ABS($AC27)/$AK27-1)+MAX(0,ABS($AD27)/$AL27-1)+MAX(0,ABS($AE27)/$AM27-1)+MAX(0,ABS($AF27)/$AN27-1)+MAX(0,ABS($AG27)/$AO27-1)+MAX(0,ABS($AH27)/$AP27-1))/8)</f>
        <v>0</v>
      </c>
      <c r="BQ27" s="12" t="n">
        <f aca="false">MAX(0,$BQ26*(1-ASSUMPTIONS!$B$18)+$BP27-$BM27*ASSUMPTIONS!$B$17)</f>
        <v>1.01293606378949</v>
      </c>
    </row>
    <row r="28" customFormat="false" ht="15" hidden="false" customHeight="false" outlineLevel="0" collapsed="false">
      <c r="A28" s="13" t="n">
        <v>21</v>
      </c>
      <c r="B28" s="11" t="n">
        <f aca="false">CLIMATE!B28</f>
        <v>1951</v>
      </c>
      <c r="C28" s="13" t="str">
        <f aca="false">IFERROR(INDEX(CAPABILITIES!$B$7:$B$15,MATCH(PLAY!$D28,CAPABILITIES!$A$7:$A$15,0)),"NONE")</f>
        <v>NONE</v>
      </c>
      <c r="D28" s="13" t="n">
        <f aca="false">IFERROR(IF(INDEX(CAPABILITIES!$B$7:$B$15,MATCH(PLAY!$D28,CAPABILITIES!$A$7:$A$15,0))="DRIVER",INDEX(CAPABILITIES!$C$7:$C$15,MATCH(PLAY!$D28,CAPABILITIES!$A$7:$A$15,0)),PLAY!$E28),"")</f>
        <v>0</v>
      </c>
      <c r="E28" s="13" t="n">
        <f aca="false">IFERROR(INDEX(CAPABILITIES!$D$7:$D$15,MATCH(PLAY!$D28,CAPABILITIES!$A$7:$A$15,0))*IF(INDEX(CAPABILITIES!$K$7:$K$15,MATCH(PLAY!$D28,CAPABILITIES!$A$7:$A$15,0))="Y",IF(IFERROR(INDEX($AA27:$AH27,MATCH(PLAY!$E28,REGIONS!$B$7:$B$14,0)),0)&lt;ASSUMPTIONS!$B$20,1,ASSUMPTIONS!$B$21),1),0)</f>
        <v>0</v>
      </c>
      <c r="F28" s="13" t="n">
        <f aca="false">IFERROR(INDEX(CAPABILITIES!$E$7:$E$15,MATCH(PLAY!$D28,CAPABILITIES!$A$7:$A$15,0)),0)</f>
        <v>0</v>
      </c>
      <c r="G28" s="13" t="n">
        <f aca="false">IFERROR(INDEX(CAPABILITIES!$F$7:$F$15,MATCH(PLAY!$D28,CAPABILITIES!$A$7:$A$15,0)),0)</f>
        <v>0</v>
      </c>
      <c r="H28" s="13" t="n">
        <f aca="false">IFERROR(INDEX(CAPABILITIES!$G$7:$G$15,MATCH(PLAY!$D28,CAPABILITIES!$A$7:$A$15,0)),0)</f>
        <v>0</v>
      </c>
      <c r="I28" s="13" t="n">
        <f aca="false">IFERROR(INDEX(CAPABILITIES!$H$7:$H$15,MATCH(PLAY!$D28,CAPABILITIES!$A$7:$A$15,0)),"")</f>
        <v>0</v>
      </c>
      <c r="J28" s="13" t="n">
        <f aca="false">IFERROR(INDEX(CAPABILITIES!$D$7:$D$15,MATCH(PLAY!$D28,CAPABILITIES!$A$7:$A$15,0))*INDEX(CAPABILITIES!$I$7:$I$15,MATCH(PLAY!$D28,CAPABILITIES!$A$7:$A$15,0)),0)</f>
        <v>0</v>
      </c>
      <c r="K28" s="13" t="n">
        <f aca="false">IFERROR(INDEX(CAPABILITIES!$E$7:$E$15,MATCH(PLAY!$D28,CAPABILITIES!$A$7:$A$15,0))+INDEX(CAPABILITIES!$J$7:$J$15,MATCH(PLAY!$D28,CAPABILITIES!$A$7:$A$15,0)),0)</f>
        <v>0</v>
      </c>
      <c r="L28" s="13" t="n">
        <f aca="false">IFERROR(INDEX(CAPABILITIES!$L$7:$L$15,MATCH(PLAY!$D28,CAPABILITIES!$A$7:$A$15,0)),0)</f>
        <v>0</v>
      </c>
      <c r="M28" s="13" t="str">
        <f aca="false">IFERROR(INDEX(CAPABILITIES!$B$7:$B$15,MATCH(PLAY!$F28,CAPABILITIES!$A$7:$A$15,0)),"NONE")</f>
        <v>NONE</v>
      </c>
      <c r="N28" s="13" t="n">
        <f aca="false">IFERROR(IF(INDEX(CAPABILITIES!$B$7:$B$15,MATCH(PLAY!$F28,CAPABILITIES!$A$7:$A$15,0))="DRIVER",INDEX(CAPABILITIES!$C$7:$C$15,MATCH(PLAY!$F28,CAPABILITIES!$A$7:$A$15,0)),PLAY!$G28),"")</f>
        <v>0</v>
      </c>
      <c r="O28" s="13" t="n">
        <f aca="false">IFERROR(INDEX(CAPABILITIES!$D$7:$D$15,MATCH(PLAY!$F28,CAPABILITIES!$A$7:$A$15,0))*IF(INDEX(CAPABILITIES!$K$7:$K$15,MATCH(PLAY!$F28,CAPABILITIES!$A$7:$A$15,0))="Y",IF(IFERROR(INDEX($AA27:$AH27,MATCH(PLAY!$G28,REGIONS!$B$7:$B$14,0)),0)&lt;ASSUMPTIONS!$B$20,1,ASSUMPTIONS!$B$21),1),0)</f>
        <v>0</v>
      </c>
      <c r="P28" s="13" t="n">
        <f aca="false">IFERROR(INDEX(CAPABILITIES!$E$7:$E$15,MATCH(PLAY!$F28,CAPABILITIES!$A$7:$A$15,0)),0)</f>
        <v>0</v>
      </c>
      <c r="Q28" s="13" t="n">
        <f aca="false">IFERROR(INDEX(CAPABILITIES!$F$7:$F$15,MATCH(PLAY!$F28,CAPABILITIES!$A$7:$A$15,0)),0)</f>
        <v>0</v>
      </c>
      <c r="R28" s="13" t="n">
        <f aca="false">IFERROR(INDEX(CAPABILITIES!$G$7:$G$15,MATCH(PLAY!$F28,CAPABILITIES!$A$7:$A$15,0)),0)</f>
        <v>0</v>
      </c>
      <c r="S28" s="13" t="n">
        <f aca="false">IFERROR(INDEX(CAPABILITIES!$H$7:$H$15,MATCH(PLAY!$F28,CAPABILITIES!$A$7:$A$15,0)),"")</f>
        <v>0</v>
      </c>
      <c r="T28" s="13" t="n">
        <f aca="false">IFERROR(INDEX(CAPABILITIES!$D$7:$D$15,MATCH(PLAY!$F28,CAPABILITIES!$A$7:$A$15,0))*INDEX(CAPABILITIES!$I$7:$I$15,MATCH(PLAY!$F28,CAPABILITIES!$A$7:$A$15,0)),0)</f>
        <v>0</v>
      </c>
      <c r="U28" s="13" t="n">
        <f aca="false">IFERROR(INDEX(CAPABILITIES!$E$7:$E$15,MATCH(PLAY!$F28,CAPABILITIES!$A$7:$A$15,0))+INDEX(CAPABILITIES!$J$7:$J$15,MATCH(PLAY!$F28,CAPABILITIES!$A$7:$A$15,0)),0)</f>
        <v>0</v>
      </c>
      <c r="V28" s="13" t="n">
        <f aca="false">IFERROR(INDEX(CAPABILITIES!$L$7:$L$15,MATCH(PLAY!$F28,CAPABILITIES!$A$7:$A$15,0)),0)</f>
        <v>0</v>
      </c>
      <c r="W28" s="28" t="n">
        <f aca="false">CLIMATE!D28+SUMPRODUCT(($D$8:$D$27="ENSO")*($F$8:$F$27+$A$8:$A$27=$A28)*$E$8:$E$27)+SUMPRODUCT(($I$8:$I$27="ENSO")*($K$8:$K$27+$A$8:$A$27=$A28)*$J$8:$J$27)+SUMPRODUCT(($N$8:$N$27="ENSO")*($P$8:$P$27+$A$8:$A$27=$A28)*$O$8:$O$27)+SUMPRODUCT(($S$8:$S$27="ENSO")*($U$8:$U$27+$A$8:$A$27=$A28)*$T$8:$T$27)</f>
        <v>-0.274</v>
      </c>
      <c r="X28" s="28" t="n">
        <f aca="false">CLIMATE!E28+SUMPRODUCT(($D$8:$D$27="IOD")*($F$8:$F$27+$A$8:$A$27=$A28)*$E$8:$E$27)+SUMPRODUCT(($I$8:$I$27="IOD")*($K$8:$K$27+$A$8:$A$27=$A28)*$J$8:$J$27)+SUMPRODUCT(($N$8:$N$27="IOD")*($P$8:$P$27+$A$8:$A$27=$A28)*$O$8:$O$27)+SUMPRODUCT(($S$8:$S$27="IOD")*($U$8:$U$27+$A$8:$A$27=$A28)*$T$8:$T$27)</f>
        <v>-0.668</v>
      </c>
      <c r="Y28" s="28" t="n">
        <f aca="false">CLIMATE!F28+SUMPRODUCT(($D$8:$D$27="NATL")*($F$8:$F$27+$A$8:$A$27=$A28)*$E$8:$E$27)+SUMPRODUCT(($I$8:$I$27="NATL")*($K$8:$K$27+$A$8:$A$27=$A28)*$J$8:$J$27)+SUMPRODUCT(($N$8:$N$27="NATL")*($P$8:$P$27+$A$8:$A$27=$A28)*$O$8:$O$27)+SUMPRODUCT(($S$8:$S$27="NATL")*($U$8:$U$27+$A$8:$A$27=$A28)*$T$8:$T$27)</f>
        <v>-0.689</v>
      </c>
      <c r="Z28" s="28" t="n">
        <f aca="false">CLIMATE!G28+SUMPRODUCT(($D$8:$D$27="GLOBAL")*($F$8:$F$27+$A$8:$A$27=$A28)*$E$8:$E$27)+SUMPRODUCT(($I$8:$I$27="GLOBAL")*($K$8:$K$27+$A$8:$A$27=$A28)*$J$8:$J$27)+SUMPRODUCT(($N$8:$N$27="GLOBAL")*($P$8:$P$27+$A$8:$A$27=$A28)*$O$8:$O$27)+SUMPRODUCT(($S$8:$S$27="GLOBAL")*($U$8:$U$27+$A$8:$A$27=$A28)*$T$8:$T$27)</f>
        <v>0</v>
      </c>
      <c r="AA28" s="28" t="n">
        <f aca="false">CLIMATE!H28+IFERROR(INDEX($W$8:$W$47,$A28-GRAPH!B17),0)*GRAPH!B9+IFERROR(INDEX($X$8:$X$47,$A28-GRAPH!B18),0)*GRAPH!B10+IFERROR(INDEX($Y$8:$Y$47,$A28-GRAPH!B19),0)*GRAPH!B11+IFERROR(INDEX($Z$8:$Z$47,$A28-GRAPH!B20),0)*GRAPH!B12+SUMPRODUCT(($D$8:$D$27=REGIONS!$B$7)*($F$8:$F$27+$A$8:$A$27=$A28)*$E$8:$E$27)+SUMPRODUCT(($N$8:$N$27=REGIONS!$B$7)*($P$8:$P$27+$A$8:$A$27=$A28)*$O$8:$O$27)</f>
        <v>-0.00880000000000002</v>
      </c>
      <c r="AB28" s="28" t="n">
        <f aca="false">CLIMATE!I28+IFERROR(INDEX($W$8:$W$47,$A28-GRAPH!C17),0)*GRAPH!C9+IFERROR(INDEX($X$8:$X$47,$A28-GRAPH!C18),0)*GRAPH!C10+IFERROR(INDEX($Y$8:$Y$47,$A28-GRAPH!C19),0)*GRAPH!C11+IFERROR(INDEX($Z$8:$Z$47,$A28-GRAPH!C20),0)*GRAPH!C12+SUMPRODUCT(($D$8:$D$27=REGIONS!$B$8)*($F$8:$F$27+$A$8:$A$27=$A28)*$E$8:$E$27)+SUMPRODUCT(($N$8:$N$27=REGIONS!$B$8)*($P$8:$P$27+$A$8:$A$27=$A28)*$O$8:$O$27)</f>
        <v>0.0935</v>
      </c>
      <c r="AC28" s="28" t="n">
        <f aca="false">CLIMATE!J28+IFERROR(INDEX($W$8:$W$47,$A28-GRAPH!D17),0)*GRAPH!D9+IFERROR(INDEX($X$8:$X$47,$A28-GRAPH!D18),0)*GRAPH!D10+IFERROR(INDEX($Y$8:$Y$47,$A28-GRAPH!D19),0)*GRAPH!D11+IFERROR(INDEX($Z$8:$Z$47,$A28-GRAPH!D20),0)*GRAPH!D12+SUMPRODUCT(($D$8:$D$27=REGIONS!$B$9)*($F$8:$F$27+$A$8:$A$27=$A28)*$E$8:$E$27)+SUMPRODUCT(($N$8:$N$27=REGIONS!$B$9)*($P$8:$P$27+$A$8:$A$27=$A28)*$O$8:$O$27)</f>
        <v>0.001</v>
      </c>
      <c r="AD28" s="28" t="n">
        <f aca="false">CLIMATE!K28+IFERROR(INDEX($W$8:$W$47,$A28-GRAPH!E17),0)*GRAPH!E9+IFERROR(INDEX($X$8:$X$47,$A28-GRAPH!E18),0)*GRAPH!E10+IFERROR(INDEX($Y$8:$Y$47,$A28-GRAPH!E19),0)*GRAPH!E11+IFERROR(INDEX($Z$8:$Z$47,$A28-GRAPH!E20),0)*GRAPH!E12+SUMPRODUCT(($D$8:$D$27=REGIONS!$B$10)*($F$8:$F$27+$A$8:$A$27=$A28)*$E$8:$E$27)+SUMPRODUCT(($N$8:$N$27=REGIONS!$B$10)*($P$8:$P$27+$A$8:$A$27=$A28)*$O$8:$O$27)</f>
        <v>0.0518</v>
      </c>
      <c r="AE28" s="28" t="n">
        <f aca="false">CLIMATE!L28+IFERROR(INDEX($W$8:$W$47,$A28-GRAPH!F17),0)*GRAPH!F9+IFERROR(INDEX($X$8:$X$47,$A28-GRAPH!F18),0)*GRAPH!F10+IFERROR(INDEX($Y$8:$Y$47,$A28-GRAPH!F19),0)*GRAPH!F11+IFERROR(INDEX($Z$8:$Z$47,$A28-GRAPH!F20),0)*GRAPH!F12+SUMPRODUCT(($D$8:$D$27=REGIONS!$B$11)*($F$8:$F$27+$A$8:$A$27=$A28)*$E$8:$E$27)+SUMPRODUCT(($N$8:$N$27=REGIONS!$B$11)*($P$8:$P$27+$A$8:$A$27=$A28)*$O$8:$O$27)</f>
        <v>0.6888</v>
      </c>
      <c r="AF28" s="28" t="n">
        <f aca="false">CLIMATE!M28+IFERROR(INDEX($W$8:$W$47,$A28-GRAPH!G17),0)*GRAPH!G9+IFERROR(INDEX($X$8:$X$47,$A28-GRAPH!G18),0)*GRAPH!G10+IFERROR(INDEX($Y$8:$Y$47,$A28-GRAPH!G19),0)*GRAPH!G11+IFERROR(INDEX($Z$8:$Z$47,$A28-GRAPH!G20),0)*GRAPH!G12+SUMPRODUCT(($D$8:$D$27=REGIONS!$B$12)*($F$8:$F$27+$A$8:$A$27=$A28)*$E$8:$E$27)+SUMPRODUCT(($N$8:$N$27=REGIONS!$B$12)*($P$8:$P$27+$A$8:$A$27=$A28)*$O$8:$O$27)</f>
        <v>0.5952</v>
      </c>
      <c r="AG28" s="28" t="n">
        <f aca="false">CLIMATE!N28+IFERROR(INDEX($W$8:$W$47,$A28-GRAPH!H17),0)*GRAPH!H9+IFERROR(INDEX($X$8:$X$47,$A28-GRAPH!H18),0)*GRAPH!H10+IFERROR(INDEX($Y$8:$Y$47,$A28-GRAPH!H19),0)*GRAPH!H11+IFERROR(INDEX($Z$8:$Z$47,$A28-GRAPH!H20),0)*GRAPH!H12+SUMPRODUCT(($D$8:$D$27=REGIONS!$B$13)*($F$8:$F$27+$A$8:$A$27=$A28)*$E$8:$E$27)+SUMPRODUCT(($N$8:$N$27=REGIONS!$B$13)*($P$8:$P$27+$A$8:$A$27=$A28)*$O$8:$O$27)</f>
        <v>-0.1749</v>
      </c>
      <c r="AH28" s="28" t="n">
        <f aca="false">CLIMATE!O28+IFERROR(INDEX($W$8:$W$47,$A28-GRAPH!I17),0)*GRAPH!I9+IFERROR(INDEX($X$8:$X$47,$A28-GRAPH!I18),0)*GRAPH!I10+IFERROR(INDEX($Y$8:$Y$47,$A28-GRAPH!I19),0)*GRAPH!I11+IFERROR(INDEX($Z$8:$Z$47,$A28-GRAPH!I20),0)*GRAPH!I12+SUMPRODUCT(($D$8:$D$27=REGIONS!$B$14)*($F$8:$F$27+$A$8:$A$27=$A28)*$E$8:$E$27)+SUMPRODUCT(($N$8:$N$27=REGIONS!$B$14)*($P$8:$P$27+$A$8:$A$27=$A28)*$O$8:$O$27)</f>
        <v>-0.9556</v>
      </c>
      <c r="AI28" s="28" t="n">
        <f aca="false">REGIONS!$F$7*(1+ASSUMPTIONS!$B$19*$A28)</f>
        <v>0.9008</v>
      </c>
      <c r="AJ28" s="28" t="n">
        <f aca="false">REGIONS!$F$8*(1+ASSUMPTIONS!$B$19*$A28)</f>
        <v>1.0134</v>
      </c>
      <c r="AK28" s="28" t="n">
        <f aca="false">REGIONS!$F$9*(1+ASSUMPTIONS!$B$19*$A28)</f>
        <v>1.0134</v>
      </c>
      <c r="AL28" s="28" t="n">
        <f aca="false">REGIONS!$F$10*(1+ASSUMPTIONS!$B$19*$A28)</f>
        <v>0.7882</v>
      </c>
      <c r="AM28" s="28" t="n">
        <f aca="false">REGIONS!$F$11*(1+ASSUMPTIONS!$B$19*$A28)</f>
        <v>0.7882</v>
      </c>
      <c r="AN28" s="28" t="n">
        <f aca="false">REGIONS!$F$12*(1+ASSUMPTIONS!$B$19*$A28)</f>
        <v>1.2386</v>
      </c>
      <c r="AO28" s="28" t="n">
        <f aca="false">REGIONS!$F$13*(1+ASSUMPTIONS!$B$19*$A28)</f>
        <v>1.3512</v>
      </c>
      <c r="AP28" s="28" t="n">
        <f aca="false">REGIONS!$F$14*(1+ASSUMPTIONS!$B$19*$A28)</f>
        <v>1.3512</v>
      </c>
      <c r="AQ28" s="11" t="n">
        <f aca="false">SUMPRODUCT(($D$8:$D$47=REGIONS!$B$7)*($A$8:$A$47&lt;=$A28)*$L$8:$L$47)+SUMPRODUCT(($N$8:$N$47=REGIONS!$B$7)*($A$8:$A$47&lt;=$A28)*$V$8:$V$47)</f>
        <v>0</v>
      </c>
      <c r="AR28" s="11" t="n">
        <f aca="false">SUMPRODUCT(($D$8:$D$47=REGIONS!$B$8)*($A$8:$A$47&lt;=$A28)*$L$8:$L$47)+SUMPRODUCT(($N$8:$N$47=REGIONS!$B$8)*($A$8:$A$47&lt;=$A28)*$V$8:$V$47)</f>
        <v>0</v>
      </c>
      <c r="AS28" s="11" t="n">
        <f aca="false">SUMPRODUCT(($D$8:$D$47=REGIONS!$B$9)*($A$8:$A$47&lt;=$A28)*$L$8:$L$47)+SUMPRODUCT(($N$8:$N$47=REGIONS!$B$9)*($A$8:$A$47&lt;=$A28)*$V$8:$V$47)</f>
        <v>0</v>
      </c>
      <c r="AT28" s="11" t="n">
        <f aca="false">SUMPRODUCT(($D$8:$D$47=REGIONS!$B$10)*($A$8:$A$47&lt;=$A28)*$L$8:$L$47)+SUMPRODUCT(($N$8:$N$47=REGIONS!$B$10)*($A$8:$A$47&lt;=$A28)*$V$8:$V$47)</f>
        <v>0</v>
      </c>
      <c r="AU28" s="11" t="n">
        <f aca="false">SUMPRODUCT(($D$8:$D$47=REGIONS!$B$11)*($A$8:$A$47&lt;=$A28)*$L$8:$L$47)+SUMPRODUCT(($N$8:$N$47=REGIONS!$B$11)*($A$8:$A$47&lt;=$A28)*$V$8:$V$47)</f>
        <v>0</v>
      </c>
      <c r="AV28" s="11" t="n">
        <f aca="false">SUMPRODUCT(($D$8:$D$47=REGIONS!$B$12)*($A$8:$A$47&lt;=$A28)*$L$8:$L$47)+SUMPRODUCT(($N$8:$N$47=REGIONS!$B$12)*($A$8:$A$47&lt;=$A28)*$V$8:$V$47)</f>
        <v>0</v>
      </c>
      <c r="AW28" s="11" t="n">
        <f aca="false">SUMPRODUCT(($D$8:$D$47=REGIONS!$B$13)*($A$8:$A$47&lt;=$A28)*$L$8:$L$47)+SUMPRODUCT(($N$8:$N$47=REGIONS!$B$13)*($A$8:$A$47&lt;=$A28)*$V$8:$V$47)</f>
        <v>0</v>
      </c>
      <c r="AX28" s="11" t="n">
        <f aca="false">SUMPRODUCT(($D$8:$D$47=REGIONS!$B$14)*($A$8:$A$47&lt;=$A28)*$L$8:$L$47)+SUMPRODUCT(($N$8:$N$47=REGIONS!$B$14)*($A$8:$A$47&lt;=$A28)*$V$8:$V$47)</f>
        <v>0</v>
      </c>
      <c r="AY28" s="12" t="n">
        <f aca="false">MAX(0,MIN(135,100-(MAX(0,-$AA28)*REGIONS!$E$7*ASSUMPTIONS!$B$7+MAX(0,$AA28-ASSUMPTIONS!$B$9)*REGIONS!$E$7*ASSUMPTIONS!$B$8)*(1-$AQ28/100)))</f>
        <v>99.8768</v>
      </c>
      <c r="AZ28" s="12" t="n">
        <f aca="false">MAX(0,MIN(135,100-(MAX(0,-$AB28)*REGIONS!$E$8*ASSUMPTIONS!$B$7+MAX(0,$AB28-ASSUMPTIONS!$B$9)*REGIONS!$E$8*ASSUMPTIONS!$B$8)*(1-$AR28/100)))</f>
        <v>100</v>
      </c>
      <c r="BA28" s="12" t="n">
        <f aca="false">MAX(0,MIN(135,100-(MAX(0,-$AC28)*REGIONS!$E$9*ASSUMPTIONS!$B$7+MAX(0,$AC28-ASSUMPTIONS!$B$9)*REGIONS!$E$9*ASSUMPTIONS!$B$8)*(1-$AS28/100)))</f>
        <v>100</v>
      </c>
      <c r="BB28" s="12" t="n">
        <f aca="false">MAX(0,MIN(135,100-(MAX(0,-$AD28)*REGIONS!$E$10*ASSUMPTIONS!$B$7+MAX(0,$AD28-ASSUMPTIONS!$B$9)*REGIONS!$E$10*ASSUMPTIONS!$B$8)*(1-$AT28/100)))</f>
        <v>100</v>
      </c>
      <c r="BC28" s="12" t="n">
        <f aca="false">MAX(0,MIN(135,100-(MAX(0,-$AE28)*REGIONS!$E$11*ASSUMPTIONS!$B$7+MAX(0,$AE28-ASSUMPTIONS!$B$9)*REGIONS!$E$11*ASSUMPTIONS!$B$8)*(1-$AU28/100)))</f>
        <v>100</v>
      </c>
      <c r="BD28" s="12" t="n">
        <f aca="false">MAX(0,MIN(135,100-(MAX(0,-$AF28)*REGIONS!$E$12*ASSUMPTIONS!$B$7+MAX(0,$AF28-ASSUMPTIONS!$B$9)*REGIONS!$E$12*ASSUMPTIONS!$B$8)*(1-$AV28/100)))</f>
        <v>100</v>
      </c>
      <c r="BE28" s="12" t="n">
        <f aca="false">MAX(0,MIN(135,100-(MAX(0,-$AG28)*REGIONS!$E$13*ASSUMPTIONS!$B$7+MAX(0,$AG28-ASSUMPTIONS!$B$9)*REGIONS!$E$13*ASSUMPTIONS!$B$8)*(1-$AW28/100)))</f>
        <v>96.57196</v>
      </c>
      <c r="BF28" s="12" t="n">
        <f aca="false">MAX(0,MIN(135,100-(MAX(0,-$AH28)*REGIONS!$E$14*ASSUMPTIONS!$B$7+MAX(0,$AH28-ASSUMPTIONS!$B$9)*REGIONS!$E$14*ASSUMPTIONS!$B$8)*(1-$AX28/100)))</f>
        <v>81.27024</v>
      </c>
      <c r="BG28" s="12" t="n">
        <f aca="false">$AY28*REGIONS!$D$7/100+$AZ28*REGIONS!$D$8/100+$BA28*REGIONS!$D$9/100+$BB28*REGIONS!$D$10/100+$BC28*REGIONS!$D$11/100+$BD28*REGIONS!$D$12/100+$BE28*REGIONS!$D$13/100+$BF28*REGIONS!$D$14/100</f>
        <v>98.645892</v>
      </c>
      <c r="BH28" s="12" t="n">
        <f aca="false">100*(100/MAX(1,$BG28))^ASSUMPTIONS!$B$10</f>
        <v>102.484406960217</v>
      </c>
      <c r="BI28" s="12" t="n">
        <f aca="false">$AY28*$BH28/100*ASSUMPTIONS!$B$11</f>
        <v>87.004424245216</v>
      </c>
      <c r="BJ28" s="28" t="n">
        <f aca="false">MAX(0,ABS($AA28)-$AI28*ASSUMPTIONS!$B$24)*REGIONS!$D$7/100+MAX(0,ABS($AB28)-$AJ28*ASSUMPTIONS!$B$24)*REGIONS!$D$8/100+MAX(0,ABS($AC28)-$AK28*ASSUMPTIONS!$B$24)*REGIONS!$D$9/100+MAX(0,ABS($AD28)-$AL28*ASSUMPTIONS!$B$24)*REGIONS!$D$10/100+MAX(0,ABS($AE28)-$AM28*ASSUMPTIONS!$B$24)*REGIONS!$D$11/100+MAX(0,ABS($AF28)-$AN28*ASSUMPTIONS!$B$24)*REGIONS!$D$12/100+MAX(0,ABS($AG28)-$AO28*ASSUMPTIONS!$B$24)*REGIONS!$D$13/100+MAX(0,ABS($AH28)-$AP28*ASSUMPTIONS!$B$24)*REGIONS!$D$14/100</f>
        <v>0.011718</v>
      </c>
      <c r="BK28" s="12" t="n">
        <f aca="false">MIN(ASSUMPTIONS!$B$14,ASSUMPTIONS!$B$12+$BJ28*ASSUMPTIONS!$B$13)</f>
        <v>28.492156</v>
      </c>
      <c r="BL28" s="11" t="n">
        <f aca="false">$H28+$R28</f>
        <v>0</v>
      </c>
      <c r="BM28" s="11" t="n">
        <f aca="false">PLAY!$H28</f>
        <v>0</v>
      </c>
      <c r="BN28" s="12" t="n">
        <f aca="false">$BI28*ASSUMPTIONS!$B$15+$BK28*ASSUMPTIONS!$B$16</f>
        <v>36.0834713094259</v>
      </c>
      <c r="BO28" s="12" t="n">
        <f aca="false">$BO27+$BN28-$BL28-$BM28-ASSUMPTIONS!$B$23</f>
        <v>211.781795413509</v>
      </c>
      <c r="BP28" s="12" t="n">
        <f aca="false">(SUMPRODUCT(($F$8:$F$27+$A$8:$A$27=$A28)*($C$8:$C$27&lt;&gt;"NONE")*$G$8:$G$27)+SUMPRODUCT(($P$8:$P$27+$A$8:$A$27=$A28)*($M$8:$M$27&lt;&gt;"NONE")*$Q$8:$Q$27))*(1+ASSUMPTIONS!$B$22*(MAX(0,ABS($AA28)/$AI28-1)+MAX(0,ABS($AB28)/$AJ28-1)+MAX(0,ABS($AC28)/$AK28-1)+MAX(0,ABS($AD28)/$AL28-1)+MAX(0,ABS($AE28)/$AM28-1)+MAX(0,ABS($AF28)/$AN28-1)+MAX(0,ABS($AG28)/$AO28-1)+MAX(0,ABS($AH28)/$AP28-1))/8)</f>
        <v>0</v>
      </c>
      <c r="BQ28" s="12" t="n">
        <f aca="false">MAX(0,$BQ27*(1-ASSUMPTIONS!$B$18)+$BP28-$BM28*ASSUMPTIONS!$B$17)</f>
        <v>0.972418621237913</v>
      </c>
    </row>
    <row r="29" customFormat="false" ht="15" hidden="false" customHeight="false" outlineLevel="0" collapsed="false">
      <c r="A29" s="13" t="n">
        <v>22</v>
      </c>
      <c r="B29" s="11" t="n">
        <f aca="false">CLIMATE!B29</f>
        <v>1951</v>
      </c>
      <c r="C29" s="13" t="str">
        <f aca="false">IFERROR(INDEX(CAPABILITIES!$B$7:$B$15,MATCH(PLAY!$D29,CAPABILITIES!$A$7:$A$15,0)),"NONE")</f>
        <v>NONE</v>
      </c>
      <c r="D29" s="13" t="n">
        <f aca="false">IFERROR(IF(INDEX(CAPABILITIES!$B$7:$B$15,MATCH(PLAY!$D29,CAPABILITIES!$A$7:$A$15,0))="DRIVER",INDEX(CAPABILITIES!$C$7:$C$15,MATCH(PLAY!$D29,CAPABILITIES!$A$7:$A$15,0)),PLAY!$E29),"")</f>
        <v>0</v>
      </c>
      <c r="E29" s="13" t="n">
        <f aca="false">IFERROR(INDEX(CAPABILITIES!$D$7:$D$15,MATCH(PLAY!$D29,CAPABILITIES!$A$7:$A$15,0))*IF(INDEX(CAPABILITIES!$K$7:$K$15,MATCH(PLAY!$D29,CAPABILITIES!$A$7:$A$15,0))="Y",IF(IFERROR(INDEX($AA28:$AH28,MATCH(PLAY!$E29,REGIONS!$B$7:$B$14,0)),0)&lt;ASSUMPTIONS!$B$20,1,ASSUMPTIONS!$B$21),1),0)</f>
        <v>0</v>
      </c>
      <c r="F29" s="13" t="n">
        <f aca="false">IFERROR(INDEX(CAPABILITIES!$E$7:$E$15,MATCH(PLAY!$D29,CAPABILITIES!$A$7:$A$15,0)),0)</f>
        <v>0</v>
      </c>
      <c r="G29" s="13" t="n">
        <f aca="false">IFERROR(INDEX(CAPABILITIES!$F$7:$F$15,MATCH(PLAY!$D29,CAPABILITIES!$A$7:$A$15,0)),0)</f>
        <v>0</v>
      </c>
      <c r="H29" s="13" t="n">
        <f aca="false">IFERROR(INDEX(CAPABILITIES!$G$7:$G$15,MATCH(PLAY!$D29,CAPABILITIES!$A$7:$A$15,0)),0)</f>
        <v>0</v>
      </c>
      <c r="I29" s="13" t="n">
        <f aca="false">IFERROR(INDEX(CAPABILITIES!$H$7:$H$15,MATCH(PLAY!$D29,CAPABILITIES!$A$7:$A$15,0)),"")</f>
        <v>0</v>
      </c>
      <c r="J29" s="13" t="n">
        <f aca="false">IFERROR(INDEX(CAPABILITIES!$D$7:$D$15,MATCH(PLAY!$D29,CAPABILITIES!$A$7:$A$15,0))*INDEX(CAPABILITIES!$I$7:$I$15,MATCH(PLAY!$D29,CAPABILITIES!$A$7:$A$15,0)),0)</f>
        <v>0</v>
      </c>
      <c r="K29" s="13" t="n">
        <f aca="false">IFERROR(INDEX(CAPABILITIES!$E$7:$E$15,MATCH(PLAY!$D29,CAPABILITIES!$A$7:$A$15,0))+INDEX(CAPABILITIES!$J$7:$J$15,MATCH(PLAY!$D29,CAPABILITIES!$A$7:$A$15,0)),0)</f>
        <v>0</v>
      </c>
      <c r="L29" s="13" t="n">
        <f aca="false">IFERROR(INDEX(CAPABILITIES!$L$7:$L$15,MATCH(PLAY!$D29,CAPABILITIES!$A$7:$A$15,0)),0)</f>
        <v>0</v>
      </c>
      <c r="M29" s="13" t="str">
        <f aca="false">IFERROR(INDEX(CAPABILITIES!$B$7:$B$15,MATCH(PLAY!$F29,CAPABILITIES!$A$7:$A$15,0)),"NONE")</f>
        <v>NONE</v>
      </c>
      <c r="N29" s="13" t="n">
        <f aca="false">IFERROR(IF(INDEX(CAPABILITIES!$B$7:$B$15,MATCH(PLAY!$F29,CAPABILITIES!$A$7:$A$15,0))="DRIVER",INDEX(CAPABILITIES!$C$7:$C$15,MATCH(PLAY!$F29,CAPABILITIES!$A$7:$A$15,0)),PLAY!$G29),"")</f>
        <v>0</v>
      </c>
      <c r="O29" s="13" t="n">
        <f aca="false">IFERROR(INDEX(CAPABILITIES!$D$7:$D$15,MATCH(PLAY!$F29,CAPABILITIES!$A$7:$A$15,0))*IF(INDEX(CAPABILITIES!$K$7:$K$15,MATCH(PLAY!$F29,CAPABILITIES!$A$7:$A$15,0))="Y",IF(IFERROR(INDEX($AA28:$AH28,MATCH(PLAY!$G29,REGIONS!$B$7:$B$14,0)),0)&lt;ASSUMPTIONS!$B$20,1,ASSUMPTIONS!$B$21),1),0)</f>
        <v>0</v>
      </c>
      <c r="P29" s="13" t="n">
        <f aca="false">IFERROR(INDEX(CAPABILITIES!$E$7:$E$15,MATCH(PLAY!$F29,CAPABILITIES!$A$7:$A$15,0)),0)</f>
        <v>0</v>
      </c>
      <c r="Q29" s="13" t="n">
        <f aca="false">IFERROR(INDEX(CAPABILITIES!$F$7:$F$15,MATCH(PLAY!$F29,CAPABILITIES!$A$7:$A$15,0)),0)</f>
        <v>0</v>
      </c>
      <c r="R29" s="13" t="n">
        <f aca="false">IFERROR(INDEX(CAPABILITIES!$G$7:$G$15,MATCH(PLAY!$F29,CAPABILITIES!$A$7:$A$15,0)),0)</f>
        <v>0</v>
      </c>
      <c r="S29" s="13" t="n">
        <f aca="false">IFERROR(INDEX(CAPABILITIES!$H$7:$H$15,MATCH(PLAY!$F29,CAPABILITIES!$A$7:$A$15,0)),"")</f>
        <v>0</v>
      </c>
      <c r="T29" s="13" t="n">
        <f aca="false">IFERROR(INDEX(CAPABILITIES!$D$7:$D$15,MATCH(PLAY!$F29,CAPABILITIES!$A$7:$A$15,0))*INDEX(CAPABILITIES!$I$7:$I$15,MATCH(PLAY!$F29,CAPABILITIES!$A$7:$A$15,0)),0)</f>
        <v>0</v>
      </c>
      <c r="U29" s="13" t="n">
        <f aca="false">IFERROR(INDEX(CAPABILITIES!$E$7:$E$15,MATCH(PLAY!$F29,CAPABILITIES!$A$7:$A$15,0))+INDEX(CAPABILITIES!$J$7:$J$15,MATCH(PLAY!$F29,CAPABILITIES!$A$7:$A$15,0)),0)</f>
        <v>0</v>
      </c>
      <c r="V29" s="13" t="n">
        <f aca="false">IFERROR(INDEX(CAPABILITIES!$L$7:$L$15,MATCH(PLAY!$F29,CAPABILITIES!$A$7:$A$15,0)),0)</f>
        <v>0</v>
      </c>
      <c r="W29" s="28" t="n">
        <f aca="false">CLIMATE!D29+SUMPRODUCT(($D$8:$D$28="ENSO")*($F$8:$F$28+$A$8:$A$28=$A29)*$E$8:$E$28)+SUMPRODUCT(($I$8:$I$28="ENSO")*($K$8:$K$28+$A$8:$A$28=$A29)*$J$8:$J$28)+SUMPRODUCT(($N$8:$N$28="ENSO")*($P$8:$P$28+$A$8:$A$28=$A29)*$O$8:$O$28)+SUMPRODUCT(($S$8:$S$28="ENSO")*($U$8:$U$28+$A$8:$A$28=$A29)*$T$8:$T$28)</f>
        <v>-0.525</v>
      </c>
      <c r="X29" s="28" t="n">
        <f aca="false">CLIMATE!E29+SUMPRODUCT(($D$8:$D$28="IOD")*($F$8:$F$28+$A$8:$A$28=$A29)*$E$8:$E$28)+SUMPRODUCT(($I$8:$I$28="IOD")*($K$8:$K$28+$A$8:$A$28=$A29)*$J$8:$J$28)+SUMPRODUCT(($N$8:$N$28="IOD")*($P$8:$P$28+$A$8:$A$28=$A29)*$O$8:$O$28)+SUMPRODUCT(($S$8:$S$28="IOD")*($U$8:$U$28+$A$8:$A$28=$A29)*$T$8:$T$28)</f>
        <v>-0.446</v>
      </c>
      <c r="Y29" s="28" t="n">
        <f aca="false">CLIMATE!F29+SUMPRODUCT(($D$8:$D$28="NATL")*($F$8:$F$28+$A$8:$A$28=$A29)*$E$8:$E$28)+SUMPRODUCT(($I$8:$I$28="NATL")*($K$8:$K$28+$A$8:$A$28=$A29)*$J$8:$J$28)+SUMPRODUCT(($N$8:$N$28="NATL")*($P$8:$P$28+$A$8:$A$28=$A29)*$O$8:$O$28)+SUMPRODUCT(($S$8:$S$28="NATL")*($U$8:$U$28+$A$8:$A$28=$A29)*$T$8:$T$28)</f>
        <v>-0.706</v>
      </c>
      <c r="Z29" s="28" t="n">
        <f aca="false">CLIMATE!G29+SUMPRODUCT(($D$8:$D$28="GLOBAL")*($F$8:$F$28+$A$8:$A$28=$A29)*$E$8:$E$28)+SUMPRODUCT(($I$8:$I$28="GLOBAL")*($K$8:$K$28+$A$8:$A$28=$A29)*$J$8:$J$28)+SUMPRODUCT(($N$8:$N$28="GLOBAL")*($P$8:$P$28+$A$8:$A$28=$A29)*$O$8:$O$28)+SUMPRODUCT(($S$8:$S$28="GLOBAL")*($U$8:$U$28+$A$8:$A$28=$A29)*$T$8:$T$28)</f>
        <v>0</v>
      </c>
      <c r="AA29" s="28" t="n">
        <f aca="false">CLIMATE!H29+IFERROR(INDEX($W$8:$W$47,$A29-GRAPH!B17),0)*GRAPH!B9+IFERROR(INDEX($X$8:$X$47,$A29-GRAPH!B18),0)*GRAPH!B10+IFERROR(INDEX($Y$8:$Y$47,$A29-GRAPH!B19),0)*GRAPH!B11+IFERROR(INDEX($Z$8:$Z$47,$A29-GRAPH!B20),0)*GRAPH!B12+SUMPRODUCT(($D$8:$D$28=REGIONS!$B$7)*($F$8:$F$28+$A$8:$A$28=$A29)*$E$8:$E$28)+SUMPRODUCT(($N$8:$N$28=REGIONS!$B$7)*($P$8:$P$28+$A$8:$A$28=$A29)*$O$8:$O$28)</f>
        <v>0.2117</v>
      </c>
      <c r="AB29" s="28" t="n">
        <f aca="false">CLIMATE!I29+IFERROR(INDEX($W$8:$W$47,$A29-GRAPH!C17),0)*GRAPH!C9+IFERROR(INDEX($X$8:$X$47,$A29-GRAPH!C18),0)*GRAPH!C10+IFERROR(INDEX($Y$8:$Y$47,$A29-GRAPH!C19),0)*GRAPH!C11+IFERROR(INDEX($Z$8:$Z$47,$A29-GRAPH!C20),0)*GRAPH!C12+SUMPRODUCT(($D$8:$D$28=REGIONS!$B$8)*($F$8:$F$28+$A$8:$A$28=$A29)*$E$8:$E$28)+SUMPRODUCT(($N$8:$N$28=REGIONS!$B$8)*($P$8:$P$28+$A$8:$A$28=$A29)*$O$8:$O$28)</f>
        <v>-0.0612</v>
      </c>
      <c r="AC29" s="28" t="n">
        <f aca="false">CLIMATE!J29+IFERROR(INDEX($W$8:$W$47,$A29-GRAPH!D17),0)*GRAPH!D9+IFERROR(INDEX($X$8:$X$47,$A29-GRAPH!D18),0)*GRAPH!D10+IFERROR(INDEX($Y$8:$Y$47,$A29-GRAPH!D19),0)*GRAPH!D11+IFERROR(INDEX($Z$8:$Z$47,$A29-GRAPH!D20),0)*GRAPH!D12+SUMPRODUCT(($D$8:$D$28=REGIONS!$B$9)*($F$8:$F$28+$A$8:$A$28=$A29)*$E$8:$E$28)+SUMPRODUCT(($N$8:$N$28=REGIONS!$B$9)*($P$8:$P$28+$A$8:$A$28=$A29)*$O$8:$O$28)</f>
        <v>-0.387</v>
      </c>
      <c r="AD29" s="28" t="n">
        <f aca="false">CLIMATE!K29+IFERROR(INDEX($W$8:$W$47,$A29-GRAPH!E17),0)*GRAPH!E9+IFERROR(INDEX($X$8:$X$47,$A29-GRAPH!E18),0)*GRAPH!E10+IFERROR(INDEX($Y$8:$Y$47,$A29-GRAPH!E19),0)*GRAPH!E11+IFERROR(INDEX($Z$8:$Z$47,$A29-GRAPH!E20),0)*GRAPH!E12+SUMPRODUCT(($D$8:$D$28=REGIONS!$B$10)*($F$8:$F$28+$A$8:$A$28=$A29)*$E$8:$E$28)+SUMPRODUCT(($N$8:$N$28=REGIONS!$B$10)*($P$8:$P$28+$A$8:$A$28=$A29)*$O$8:$O$28)</f>
        <v>-0.222</v>
      </c>
      <c r="AE29" s="28" t="n">
        <f aca="false">CLIMATE!L29+IFERROR(INDEX($W$8:$W$47,$A29-GRAPH!F17),0)*GRAPH!F9+IFERROR(INDEX($X$8:$X$47,$A29-GRAPH!F18),0)*GRAPH!F10+IFERROR(INDEX($Y$8:$Y$47,$A29-GRAPH!F19),0)*GRAPH!F11+IFERROR(INDEX($Z$8:$Z$47,$A29-GRAPH!F20),0)*GRAPH!F12+SUMPRODUCT(($D$8:$D$28=REGIONS!$B$11)*($F$8:$F$28+$A$8:$A$28=$A29)*$E$8:$E$28)+SUMPRODUCT(($N$8:$N$28=REGIONS!$B$11)*($P$8:$P$28+$A$8:$A$28=$A29)*$O$8:$O$28)</f>
        <v>0.6324</v>
      </c>
      <c r="AF29" s="28" t="n">
        <f aca="false">CLIMATE!M29+IFERROR(INDEX($W$8:$W$47,$A29-GRAPH!G17),0)*GRAPH!G9+IFERROR(INDEX($X$8:$X$47,$A29-GRAPH!G18),0)*GRAPH!G10+IFERROR(INDEX($Y$8:$Y$47,$A29-GRAPH!G19),0)*GRAPH!G11+IFERROR(INDEX($Z$8:$Z$47,$A29-GRAPH!G20),0)*GRAPH!G12+SUMPRODUCT(($D$8:$D$28=REGIONS!$B$12)*($F$8:$F$28+$A$8:$A$28=$A29)*$E$8:$E$28)+SUMPRODUCT(($N$8:$N$28=REGIONS!$B$12)*($P$8:$P$28+$A$8:$A$28=$A29)*$O$8:$O$28)</f>
        <v>0.5934</v>
      </c>
      <c r="AG29" s="28" t="n">
        <f aca="false">CLIMATE!N29+IFERROR(INDEX($W$8:$W$47,$A29-GRAPH!H17),0)*GRAPH!H9+IFERROR(INDEX($X$8:$X$47,$A29-GRAPH!H18),0)*GRAPH!H10+IFERROR(INDEX($Y$8:$Y$47,$A29-GRAPH!H19),0)*GRAPH!H11+IFERROR(INDEX($Z$8:$Z$47,$A29-GRAPH!H20),0)*GRAPH!H12+SUMPRODUCT(($D$8:$D$28=REGIONS!$B$13)*($F$8:$F$28+$A$8:$A$28=$A29)*$E$8:$E$28)+SUMPRODUCT(($N$8:$N$28=REGIONS!$B$13)*($P$8:$P$28+$A$8:$A$28=$A29)*$O$8:$O$28)</f>
        <v>-0.7451</v>
      </c>
      <c r="AH29" s="28" t="n">
        <f aca="false">CLIMATE!O29+IFERROR(INDEX($W$8:$W$47,$A29-GRAPH!I17),0)*GRAPH!I9+IFERROR(INDEX($X$8:$X$47,$A29-GRAPH!I18),0)*GRAPH!I10+IFERROR(INDEX($Y$8:$Y$47,$A29-GRAPH!I19),0)*GRAPH!I11+IFERROR(INDEX($Z$8:$Z$47,$A29-GRAPH!I20),0)*GRAPH!I12+SUMPRODUCT(($D$8:$D$28=REGIONS!$B$14)*($F$8:$F$28+$A$8:$A$28=$A29)*$E$8:$E$28)+SUMPRODUCT(($N$8:$N$28=REGIONS!$B$14)*($P$8:$P$28+$A$8:$A$28=$A29)*$O$8:$O$28)</f>
        <v>-0.6048</v>
      </c>
      <c r="AI29" s="28" t="n">
        <f aca="false">REGIONS!$F$7*(1+ASSUMPTIONS!$B$19*$A29)</f>
        <v>0.9056</v>
      </c>
      <c r="AJ29" s="28" t="n">
        <f aca="false">REGIONS!$F$8*(1+ASSUMPTIONS!$B$19*$A29)</f>
        <v>1.0188</v>
      </c>
      <c r="AK29" s="28" t="n">
        <f aca="false">REGIONS!$F$9*(1+ASSUMPTIONS!$B$19*$A29)</f>
        <v>1.0188</v>
      </c>
      <c r="AL29" s="28" t="n">
        <f aca="false">REGIONS!$F$10*(1+ASSUMPTIONS!$B$19*$A29)</f>
        <v>0.7924</v>
      </c>
      <c r="AM29" s="28" t="n">
        <f aca="false">REGIONS!$F$11*(1+ASSUMPTIONS!$B$19*$A29)</f>
        <v>0.7924</v>
      </c>
      <c r="AN29" s="28" t="n">
        <f aca="false">REGIONS!$F$12*(1+ASSUMPTIONS!$B$19*$A29)</f>
        <v>1.2452</v>
      </c>
      <c r="AO29" s="28" t="n">
        <f aca="false">REGIONS!$F$13*(1+ASSUMPTIONS!$B$19*$A29)</f>
        <v>1.3584</v>
      </c>
      <c r="AP29" s="28" t="n">
        <f aca="false">REGIONS!$F$14*(1+ASSUMPTIONS!$B$19*$A29)</f>
        <v>1.3584</v>
      </c>
      <c r="AQ29" s="11" t="n">
        <f aca="false">SUMPRODUCT(($D$8:$D$47=REGIONS!$B$7)*($A$8:$A$47&lt;=$A29)*$L$8:$L$47)+SUMPRODUCT(($N$8:$N$47=REGIONS!$B$7)*($A$8:$A$47&lt;=$A29)*$V$8:$V$47)</f>
        <v>0</v>
      </c>
      <c r="AR29" s="11" t="n">
        <f aca="false">SUMPRODUCT(($D$8:$D$47=REGIONS!$B$8)*($A$8:$A$47&lt;=$A29)*$L$8:$L$47)+SUMPRODUCT(($N$8:$N$47=REGIONS!$B$8)*($A$8:$A$47&lt;=$A29)*$V$8:$V$47)</f>
        <v>0</v>
      </c>
      <c r="AS29" s="11" t="n">
        <f aca="false">SUMPRODUCT(($D$8:$D$47=REGIONS!$B$9)*($A$8:$A$47&lt;=$A29)*$L$8:$L$47)+SUMPRODUCT(($N$8:$N$47=REGIONS!$B$9)*($A$8:$A$47&lt;=$A29)*$V$8:$V$47)</f>
        <v>0</v>
      </c>
      <c r="AT29" s="11" t="n">
        <f aca="false">SUMPRODUCT(($D$8:$D$47=REGIONS!$B$10)*($A$8:$A$47&lt;=$A29)*$L$8:$L$47)+SUMPRODUCT(($N$8:$N$47=REGIONS!$B$10)*($A$8:$A$47&lt;=$A29)*$V$8:$V$47)</f>
        <v>0</v>
      </c>
      <c r="AU29" s="11" t="n">
        <f aca="false">SUMPRODUCT(($D$8:$D$47=REGIONS!$B$11)*($A$8:$A$47&lt;=$A29)*$L$8:$L$47)+SUMPRODUCT(($N$8:$N$47=REGIONS!$B$11)*($A$8:$A$47&lt;=$A29)*$V$8:$V$47)</f>
        <v>0</v>
      </c>
      <c r="AV29" s="11" t="n">
        <f aca="false">SUMPRODUCT(($D$8:$D$47=REGIONS!$B$12)*($A$8:$A$47&lt;=$A29)*$L$8:$L$47)+SUMPRODUCT(($N$8:$N$47=REGIONS!$B$12)*($A$8:$A$47&lt;=$A29)*$V$8:$V$47)</f>
        <v>0</v>
      </c>
      <c r="AW29" s="11" t="n">
        <f aca="false">SUMPRODUCT(($D$8:$D$47=REGIONS!$B$13)*($A$8:$A$47&lt;=$A29)*$L$8:$L$47)+SUMPRODUCT(($N$8:$N$47=REGIONS!$B$13)*($A$8:$A$47&lt;=$A29)*$V$8:$V$47)</f>
        <v>0</v>
      </c>
      <c r="AX29" s="11" t="n">
        <f aca="false">SUMPRODUCT(($D$8:$D$47=REGIONS!$B$14)*($A$8:$A$47&lt;=$A29)*$L$8:$L$47)+SUMPRODUCT(($N$8:$N$47=REGIONS!$B$14)*($A$8:$A$47&lt;=$A29)*$V$8:$V$47)</f>
        <v>0</v>
      </c>
      <c r="AY29" s="12" t="n">
        <f aca="false">MAX(0,MIN(135,100-(MAX(0,-$AA29)*REGIONS!$E$7*ASSUMPTIONS!$B$7+MAX(0,$AA29-ASSUMPTIONS!$B$9)*REGIONS!$E$7*ASSUMPTIONS!$B$8)*(1-$AQ29/100)))</f>
        <v>100</v>
      </c>
      <c r="AZ29" s="12" t="n">
        <f aca="false">MAX(0,MIN(135,100-(MAX(0,-$AB29)*REGIONS!$E$8*ASSUMPTIONS!$B$7+MAX(0,$AB29-ASSUMPTIONS!$B$9)*REGIONS!$E$8*ASSUMPTIONS!$B$8)*(1-$AR29/100)))</f>
        <v>99.05752</v>
      </c>
      <c r="BA29" s="12" t="n">
        <f aca="false">MAX(0,MIN(135,100-(MAX(0,-$AC29)*REGIONS!$E$9*ASSUMPTIONS!$B$7+MAX(0,$AC29-ASSUMPTIONS!$B$9)*REGIONS!$E$9*ASSUMPTIONS!$B$8)*(1-$AS29/100)))</f>
        <v>94.582</v>
      </c>
      <c r="BB29" s="12" t="n">
        <f aca="false">MAX(0,MIN(135,100-(MAX(0,-$AD29)*REGIONS!$E$10*ASSUMPTIONS!$B$7+MAX(0,$AD29-ASSUMPTIONS!$B$9)*REGIONS!$E$10*ASSUMPTIONS!$B$8)*(1-$AT29/100)))</f>
        <v>96.2704</v>
      </c>
      <c r="BC29" s="12" t="n">
        <f aca="false">MAX(0,MIN(135,100-(MAX(0,-$AE29)*REGIONS!$E$11*ASSUMPTIONS!$B$7+MAX(0,$AE29-ASSUMPTIONS!$B$9)*REGIONS!$E$11*ASSUMPTIONS!$B$8)*(1-$AU29/100)))</f>
        <v>100</v>
      </c>
      <c r="BD29" s="12" t="n">
        <f aca="false">MAX(0,MIN(135,100-(MAX(0,-$AF29)*REGIONS!$E$12*ASSUMPTIONS!$B$7+MAX(0,$AF29-ASSUMPTIONS!$B$9)*REGIONS!$E$12*ASSUMPTIONS!$B$8)*(1-$AV29/100)))</f>
        <v>100</v>
      </c>
      <c r="BE29" s="12" t="n">
        <f aca="false">MAX(0,MIN(135,100-(MAX(0,-$AG29)*REGIONS!$E$13*ASSUMPTIONS!$B$7+MAX(0,$AG29-ASSUMPTIONS!$B$9)*REGIONS!$E$13*ASSUMPTIONS!$B$8)*(1-$AW29/100)))</f>
        <v>85.39604</v>
      </c>
      <c r="BF29" s="12" t="n">
        <f aca="false">MAX(0,MIN(135,100-(MAX(0,-$AH29)*REGIONS!$E$14*ASSUMPTIONS!$B$7+MAX(0,$AH29-ASSUMPTIONS!$B$9)*REGIONS!$E$14*ASSUMPTIONS!$B$8)*(1-$AX29/100)))</f>
        <v>88.14592</v>
      </c>
      <c r="BG29" s="12" t="n">
        <f aca="false">$AY29*REGIONS!$D$7/100+$AZ29*REGIONS!$D$8/100+$BA29*REGIONS!$D$9/100+$BB29*REGIONS!$D$10/100+$BC29*REGIONS!$D$11/100+$BD29*REGIONS!$D$12/100+$BE29*REGIONS!$D$13/100+$BF29*REGIONS!$D$14/100</f>
        <v>96.7776928</v>
      </c>
      <c r="BH29" s="12" t="n">
        <f aca="false">100*(100/MAX(1,$BG29))^ASSUMPTIONS!$B$10</f>
        <v>106.072920003969</v>
      </c>
      <c r="BI29" s="12" t="n">
        <f aca="false">$AY29*$BH29/100*ASSUMPTIONS!$B$11</f>
        <v>90.1619820033735</v>
      </c>
      <c r="BJ29" s="28" t="n">
        <f aca="false">MAX(0,ABS($AA29)-$AI29*ASSUMPTIONS!$B$24)*REGIONS!$D$7/100+MAX(0,ABS($AB29)-$AJ29*ASSUMPTIONS!$B$24)*REGIONS!$D$8/100+MAX(0,ABS($AC29)-$AK29*ASSUMPTIONS!$B$24)*REGIONS!$D$9/100+MAX(0,ABS($AD29)-$AL29*ASSUMPTIONS!$B$24)*REGIONS!$D$10/100+MAX(0,ABS($AE29)-$AM29*ASSUMPTIONS!$B$24)*REGIONS!$D$11/100+MAX(0,ABS($AF29)-$AN29*ASSUMPTIONS!$B$24)*REGIONS!$D$12/100+MAX(0,ABS($AG29)-$AO29*ASSUMPTIONS!$B$24)*REGIONS!$D$13/100+MAX(0,ABS($AH29)-$AP29*ASSUMPTIONS!$B$24)*REGIONS!$D$14/100</f>
        <v>0.004572</v>
      </c>
      <c r="BK29" s="12" t="n">
        <f aca="false">MIN(ASSUMPTIONS!$B$14,ASSUMPTIONS!$B$12+$BJ29*ASSUMPTIONS!$B$13)</f>
        <v>28.192024</v>
      </c>
      <c r="BL29" s="11" t="n">
        <f aca="false">$H29+$R29</f>
        <v>0</v>
      </c>
      <c r="BM29" s="11" t="n">
        <f aca="false">PLAY!$H29</f>
        <v>0</v>
      </c>
      <c r="BN29" s="12" t="n">
        <f aca="false">$BI29*ASSUMPTIONS!$B$15+$BK29*ASSUMPTIONS!$B$16</f>
        <v>36.1922594404048</v>
      </c>
      <c r="BO29" s="12" t="n">
        <f aca="false">$BO28+$BN29-$BL29-$BM29-ASSUMPTIONS!$B$23</f>
        <v>215.974054853914</v>
      </c>
      <c r="BP29" s="12" t="n">
        <f aca="false">(SUMPRODUCT(($F$8:$F$28+$A$8:$A$28=$A29)*($C$8:$C$28&lt;&gt;"NONE")*$G$8:$G$28)+SUMPRODUCT(($P$8:$P$28+$A$8:$A$28=$A29)*($M$8:$M$28&lt;&gt;"NONE")*$Q$8:$Q$28))*(1+ASSUMPTIONS!$B$22*(MAX(0,ABS($AA29)/$AI29-1)+MAX(0,ABS($AB29)/$AJ29-1)+MAX(0,ABS($AC29)/$AK29-1)+MAX(0,ABS($AD29)/$AL29-1)+MAX(0,ABS($AE29)/$AM29-1)+MAX(0,ABS($AF29)/$AN29-1)+MAX(0,ABS($AG29)/$AO29-1)+MAX(0,ABS($AH29)/$AP29-1))/8)</f>
        <v>0</v>
      </c>
      <c r="BQ29" s="12" t="n">
        <f aca="false">MAX(0,$BQ28*(1-ASSUMPTIONS!$B$18)+$BP29-$BM29*ASSUMPTIONS!$B$17)</f>
        <v>0.933521876388396</v>
      </c>
    </row>
    <row r="30" customFormat="false" ht="15" hidden="false" customHeight="false" outlineLevel="0" collapsed="false">
      <c r="A30" s="13" t="n">
        <v>23</v>
      </c>
      <c r="B30" s="11" t="n">
        <f aca="false">CLIMATE!B30</f>
        <v>1951</v>
      </c>
      <c r="C30" s="13" t="str">
        <f aca="false">IFERROR(INDEX(CAPABILITIES!$B$7:$B$15,MATCH(PLAY!$D30,CAPABILITIES!$A$7:$A$15,0)),"NONE")</f>
        <v>NONE</v>
      </c>
      <c r="D30" s="13" t="n">
        <f aca="false">IFERROR(IF(INDEX(CAPABILITIES!$B$7:$B$15,MATCH(PLAY!$D30,CAPABILITIES!$A$7:$A$15,0))="DRIVER",INDEX(CAPABILITIES!$C$7:$C$15,MATCH(PLAY!$D30,CAPABILITIES!$A$7:$A$15,0)),PLAY!$E30),"")</f>
        <v>0</v>
      </c>
      <c r="E30" s="13" t="n">
        <f aca="false">IFERROR(INDEX(CAPABILITIES!$D$7:$D$15,MATCH(PLAY!$D30,CAPABILITIES!$A$7:$A$15,0))*IF(INDEX(CAPABILITIES!$K$7:$K$15,MATCH(PLAY!$D30,CAPABILITIES!$A$7:$A$15,0))="Y",IF(IFERROR(INDEX($AA29:$AH29,MATCH(PLAY!$E30,REGIONS!$B$7:$B$14,0)),0)&lt;ASSUMPTIONS!$B$20,1,ASSUMPTIONS!$B$21),1),0)</f>
        <v>0</v>
      </c>
      <c r="F30" s="13" t="n">
        <f aca="false">IFERROR(INDEX(CAPABILITIES!$E$7:$E$15,MATCH(PLAY!$D30,CAPABILITIES!$A$7:$A$15,0)),0)</f>
        <v>0</v>
      </c>
      <c r="G30" s="13" t="n">
        <f aca="false">IFERROR(INDEX(CAPABILITIES!$F$7:$F$15,MATCH(PLAY!$D30,CAPABILITIES!$A$7:$A$15,0)),0)</f>
        <v>0</v>
      </c>
      <c r="H30" s="13" t="n">
        <f aca="false">IFERROR(INDEX(CAPABILITIES!$G$7:$G$15,MATCH(PLAY!$D30,CAPABILITIES!$A$7:$A$15,0)),0)</f>
        <v>0</v>
      </c>
      <c r="I30" s="13" t="n">
        <f aca="false">IFERROR(INDEX(CAPABILITIES!$H$7:$H$15,MATCH(PLAY!$D30,CAPABILITIES!$A$7:$A$15,0)),"")</f>
        <v>0</v>
      </c>
      <c r="J30" s="13" t="n">
        <f aca="false">IFERROR(INDEX(CAPABILITIES!$D$7:$D$15,MATCH(PLAY!$D30,CAPABILITIES!$A$7:$A$15,0))*INDEX(CAPABILITIES!$I$7:$I$15,MATCH(PLAY!$D30,CAPABILITIES!$A$7:$A$15,0)),0)</f>
        <v>0</v>
      </c>
      <c r="K30" s="13" t="n">
        <f aca="false">IFERROR(INDEX(CAPABILITIES!$E$7:$E$15,MATCH(PLAY!$D30,CAPABILITIES!$A$7:$A$15,0))+INDEX(CAPABILITIES!$J$7:$J$15,MATCH(PLAY!$D30,CAPABILITIES!$A$7:$A$15,0)),0)</f>
        <v>0</v>
      </c>
      <c r="L30" s="13" t="n">
        <f aca="false">IFERROR(INDEX(CAPABILITIES!$L$7:$L$15,MATCH(PLAY!$D30,CAPABILITIES!$A$7:$A$15,0)),0)</f>
        <v>0</v>
      </c>
      <c r="M30" s="13" t="str">
        <f aca="false">IFERROR(INDEX(CAPABILITIES!$B$7:$B$15,MATCH(PLAY!$F30,CAPABILITIES!$A$7:$A$15,0)),"NONE")</f>
        <v>NONE</v>
      </c>
      <c r="N30" s="13" t="n">
        <f aca="false">IFERROR(IF(INDEX(CAPABILITIES!$B$7:$B$15,MATCH(PLAY!$F30,CAPABILITIES!$A$7:$A$15,0))="DRIVER",INDEX(CAPABILITIES!$C$7:$C$15,MATCH(PLAY!$F30,CAPABILITIES!$A$7:$A$15,0)),PLAY!$G30),"")</f>
        <v>0</v>
      </c>
      <c r="O30" s="13" t="n">
        <f aca="false">IFERROR(INDEX(CAPABILITIES!$D$7:$D$15,MATCH(PLAY!$F30,CAPABILITIES!$A$7:$A$15,0))*IF(INDEX(CAPABILITIES!$K$7:$K$15,MATCH(PLAY!$F30,CAPABILITIES!$A$7:$A$15,0))="Y",IF(IFERROR(INDEX($AA29:$AH29,MATCH(PLAY!$G30,REGIONS!$B$7:$B$14,0)),0)&lt;ASSUMPTIONS!$B$20,1,ASSUMPTIONS!$B$21),1),0)</f>
        <v>0</v>
      </c>
      <c r="P30" s="13" t="n">
        <f aca="false">IFERROR(INDEX(CAPABILITIES!$E$7:$E$15,MATCH(PLAY!$F30,CAPABILITIES!$A$7:$A$15,0)),0)</f>
        <v>0</v>
      </c>
      <c r="Q30" s="13" t="n">
        <f aca="false">IFERROR(INDEX(CAPABILITIES!$F$7:$F$15,MATCH(PLAY!$F30,CAPABILITIES!$A$7:$A$15,0)),0)</f>
        <v>0</v>
      </c>
      <c r="R30" s="13" t="n">
        <f aca="false">IFERROR(INDEX(CAPABILITIES!$G$7:$G$15,MATCH(PLAY!$F30,CAPABILITIES!$A$7:$A$15,0)),0)</f>
        <v>0</v>
      </c>
      <c r="S30" s="13" t="n">
        <f aca="false">IFERROR(INDEX(CAPABILITIES!$H$7:$H$15,MATCH(PLAY!$F30,CAPABILITIES!$A$7:$A$15,0)),"")</f>
        <v>0</v>
      </c>
      <c r="T30" s="13" t="n">
        <f aca="false">IFERROR(INDEX(CAPABILITIES!$D$7:$D$15,MATCH(PLAY!$F30,CAPABILITIES!$A$7:$A$15,0))*INDEX(CAPABILITIES!$I$7:$I$15,MATCH(PLAY!$F30,CAPABILITIES!$A$7:$A$15,0)),0)</f>
        <v>0</v>
      </c>
      <c r="U30" s="13" t="n">
        <f aca="false">IFERROR(INDEX(CAPABILITIES!$E$7:$E$15,MATCH(PLAY!$F30,CAPABILITIES!$A$7:$A$15,0))+INDEX(CAPABILITIES!$J$7:$J$15,MATCH(PLAY!$F30,CAPABILITIES!$A$7:$A$15,0)),0)</f>
        <v>0</v>
      </c>
      <c r="V30" s="13" t="n">
        <f aca="false">IFERROR(INDEX(CAPABILITIES!$L$7:$L$15,MATCH(PLAY!$F30,CAPABILITIES!$A$7:$A$15,0)),0)</f>
        <v>0</v>
      </c>
      <c r="W30" s="28" t="n">
        <f aca="false">CLIMATE!D30+SUMPRODUCT(($D$8:$D$29="ENSO")*($F$8:$F$29+$A$8:$A$29=$A30)*$E$8:$E$29)+SUMPRODUCT(($I$8:$I$29="ENSO")*($K$8:$K$29+$A$8:$A$29=$A30)*$J$8:$J$29)+SUMPRODUCT(($N$8:$N$29="ENSO")*($P$8:$P$29+$A$8:$A$29=$A30)*$O$8:$O$29)+SUMPRODUCT(($S$8:$S$29="ENSO")*($U$8:$U$29+$A$8:$A$29=$A30)*$T$8:$T$29)</f>
        <v>-1.461</v>
      </c>
      <c r="X30" s="28" t="n">
        <f aca="false">CLIMATE!E30+SUMPRODUCT(($D$8:$D$29="IOD")*($F$8:$F$29+$A$8:$A$29=$A30)*$E$8:$E$29)+SUMPRODUCT(($I$8:$I$29="IOD")*($K$8:$K$29+$A$8:$A$29=$A30)*$J$8:$J$29)+SUMPRODUCT(($N$8:$N$29="IOD")*($P$8:$P$29+$A$8:$A$29=$A30)*$O$8:$O$29)+SUMPRODUCT(($S$8:$S$29="IOD")*($U$8:$U$29+$A$8:$A$29=$A30)*$T$8:$T$29)</f>
        <v>-0.593</v>
      </c>
      <c r="Y30" s="28" t="n">
        <f aca="false">CLIMATE!F30+SUMPRODUCT(($D$8:$D$29="NATL")*($F$8:$F$29+$A$8:$A$29=$A30)*$E$8:$E$29)+SUMPRODUCT(($I$8:$I$29="NATL")*($K$8:$K$29+$A$8:$A$29=$A30)*$J$8:$J$29)+SUMPRODUCT(($N$8:$N$29="NATL")*($P$8:$P$29+$A$8:$A$29=$A30)*$O$8:$O$29)+SUMPRODUCT(($S$8:$S$29="NATL")*($U$8:$U$29+$A$8:$A$29=$A30)*$T$8:$T$29)</f>
        <v>-0.391</v>
      </c>
      <c r="Z30" s="28" t="n">
        <f aca="false">CLIMATE!G30+SUMPRODUCT(($D$8:$D$29="GLOBAL")*($F$8:$F$29+$A$8:$A$29=$A30)*$E$8:$E$29)+SUMPRODUCT(($I$8:$I$29="GLOBAL")*($K$8:$K$29+$A$8:$A$29=$A30)*$J$8:$J$29)+SUMPRODUCT(($N$8:$N$29="GLOBAL")*($P$8:$P$29+$A$8:$A$29=$A30)*$O$8:$O$29)+SUMPRODUCT(($S$8:$S$29="GLOBAL")*($U$8:$U$29+$A$8:$A$29=$A30)*$T$8:$T$29)</f>
        <v>0</v>
      </c>
      <c r="AA30" s="28" t="n">
        <f aca="false">CLIMATE!H30+IFERROR(INDEX($W$8:$W$47,$A30-GRAPH!B17),0)*GRAPH!B9+IFERROR(INDEX($X$8:$X$47,$A30-GRAPH!B18),0)*GRAPH!B10+IFERROR(INDEX($Y$8:$Y$47,$A30-GRAPH!B19),0)*GRAPH!B11+IFERROR(INDEX($Z$8:$Z$47,$A30-GRAPH!B20),0)*GRAPH!B12+SUMPRODUCT(($D$8:$D$29=REGIONS!$B$7)*($F$8:$F$29+$A$8:$A$29=$A30)*$E$8:$E$29)+SUMPRODUCT(($N$8:$N$29=REGIONS!$B$7)*($P$8:$P$29+$A$8:$A$29=$A30)*$O$8:$O$29)</f>
        <v>0.4659</v>
      </c>
      <c r="AB30" s="28" t="n">
        <f aca="false">CLIMATE!I30+IFERROR(INDEX($W$8:$W$47,$A30-GRAPH!C17),0)*GRAPH!C9+IFERROR(INDEX($X$8:$X$47,$A30-GRAPH!C18),0)*GRAPH!C10+IFERROR(INDEX($Y$8:$Y$47,$A30-GRAPH!C19),0)*GRAPH!C11+IFERROR(INDEX($Z$8:$Z$47,$A30-GRAPH!C20),0)*GRAPH!C12+SUMPRODUCT(($D$8:$D$29=REGIONS!$B$8)*($F$8:$F$29+$A$8:$A$29=$A30)*$E$8:$E$29)+SUMPRODUCT(($N$8:$N$29=REGIONS!$B$8)*($P$8:$P$29+$A$8:$A$29=$A30)*$O$8:$O$29)</f>
        <v>0.0442</v>
      </c>
      <c r="AC30" s="28" t="n">
        <f aca="false">CLIMATE!J30+IFERROR(INDEX($W$8:$W$47,$A30-GRAPH!D17),0)*GRAPH!D9+IFERROR(INDEX($X$8:$X$47,$A30-GRAPH!D18),0)*GRAPH!D10+IFERROR(INDEX($Y$8:$Y$47,$A30-GRAPH!D19),0)*GRAPH!D11+IFERROR(INDEX($Z$8:$Z$47,$A30-GRAPH!D20),0)*GRAPH!D12+SUMPRODUCT(($D$8:$D$29=REGIONS!$B$9)*($F$8:$F$29+$A$8:$A$29=$A30)*$E$8:$E$29)+SUMPRODUCT(($N$8:$N$29=REGIONS!$B$9)*($P$8:$P$29+$A$8:$A$29=$A30)*$O$8:$O$29)</f>
        <v>-0.518</v>
      </c>
      <c r="AD30" s="28" t="n">
        <f aca="false">CLIMATE!K30+IFERROR(INDEX($W$8:$W$47,$A30-GRAPH!E17),0)*GRAPH!E9+IFERROR(INDEX($X$8:$X$47,$A30-GRAPH!E18),0)*GRAPH!E10+IFERROR(INDEX($Y$8:$Y$47,$A30-GRAPH!E19),0)*GRAPH!E11+IFERROR(INDEX($Z$8:$Z$47,$A30-GRAPH!E20),0)*GRAPH!E12+SUMPRODUCT(($D$8:$D$29=REGIONS!$B$10)*($F$8:$F$29+$A$8:$A$29=$A30)*$E$8:$E$29)+SUMPRODUCT(($N$8:$N$29=REGIONS!$B$10)*($P$8:$P$29+$A$8:$A$29=$A30)*$O$8:$O$29)</f>
        <v>0.1339</v>
      </c>
      <c r="AE30" s="28" t="n">
        <f aca="false">CLIMATE!L30+IFERROR(INDEX($W$8:$W$47,$A30-GRAPH!F17),0)*GRAPH!F9+IFERROR(INDEX($X$8:$X$47,$A30-GRAPH!F18),0)*GRAPH!F10+IFERROR(INDEX($Y$8:$Y$47,$A30-GRAPH!F19),0)*GRAPH!F11+IFERROR(INDEX($Z$8:$Z$47,$A30-GRAPH!F20),0)*GRAPH!F12+SUMPRODUCT(($D$8:$D$29=REGIONS!$B$11)*($F$8:$F$29+$A$8:$A$29=$A30)*$E$8:$E$29)+SUMPRODUCT(($N$8:$N$29=REGIONS!$B$11)*($P$8:$P$29+$A$8:$A$29=$A30)*$O$8:$O$29)</f>
        <v>0.5987</v>
      </c>
      <c r="AF30" s="28" t="n">
        <f aca="false">CLIMATE!M30+IFERROR(INDEX($W$8:$W$47,$A30-GRAPH!G17),0)*GRAPH!G9+IFERROR(INDEX($X$8:$X$47,$A30-GRAPH!G18),0)*GRAPH!G10+IFERROR(INDEX($Y$8:$Y$47,$A30-GRAPH!G19),0)*GRAPH!G11+IFERROR(INDEX($Z$8:$Z$47,$A30-GRAPH!G20),0)*GRAPH!G12+SUMPRODUCT(($D$8:$D$29=REGIONS!$B$12)*($F$8:$F$29+$A$8:$A$29=$A30)*$E$8:$E$29)+SUMPRODUCT(($N$8:$N$29=REGIONS!$B$12)*($P$8:$P$29+$A$8:$A$29=$A30)*$O$8:$O$29)</f>
        <v>0.7701</v>
      </c>
      <c r="AG30" s="28" t="n">
        <f aca="false">CLIMATE!N30+IFERROR(INDEX($W$8:$W$47,$A30-GRAPH!H17),0)*GRAPH!H9+IFERROR(INDEX($X$8:$X$47,$A30-GRAPH!H18),0)*GRAPH!H10+IFERROR(INDEX($Y$8:$Y$47,$A30-GRAPH!H19),0)*GRAPH!H11+IFERROR(INDEX($Z$8:$Z$47,$A30-GRAPH!H20),0)*GRAPH!H12+SUMPRODUCT(($D$8:$D$29=REGIONS!$B$13)*($F$8:$F$29+$A$8:$A$29=$A30)*$E$8:$E$29)+SUMPRODUCT(($N$8:$N$29=REGIONS!$B$13)*($P$8:$P$29+$A$8:$A$29=$A30)*$O$8:$O$29)</f>
        <v>-0.1429</v>
      </c>
      <c r="AH30" s="28" t="n">
        <f aca="false">CLIMATE!O30+IFERROR(INDEX($W$8:$W$47,$A30-GRAPH!I17),0)*GRAPH!I9+IFERROR(INDEX($X$8:$X$47,$A30-GRAPH!I18),0)*GRAPH!I10+IFERROR(INDEX($Y$8:$Y$47,$A30-GRAPH!I19),0)*GRAPH!I11+IFERROR(INDEX($Z$8:$Z$47,$A30-GRAPH!I20),0)*GRAPH!I12+SUMPRODUCT(($D$8:$D$29=REGIONS!$B$14)*($F$8:$F$29+$A$8:$A$29=$A30)*$E$8:$E$29)+SUMPRODUCT(($N$8:$N$29=REGIONS!$B$14)*($P$8:$P$29+$A$8:$A$29=$A30)*$O$8:$O$29)</f>
        <v>-0.6598</v>
      </c>
      <c r="AI30" s="28" t="n">
        <f aca="false">REGIONS!$F$7*(1+ASSUMPTIONS!$B$19*$A30)</f>
        <v>0.9104</v>
      </c>
      <c r="AJ30" s="28" t="n">
        <f aca="false">REGIONS!$F$8*(1+ASSUMPTIONS!$B$19*$A30)</f>
        <v>1.0242</v>
      </c>
      <c r="AK30" s="28" t="n">
        <f aca="false">REGIONS!$F$9*(1+ASSUMPTIONS!$B$19*$A30)</f>
        <v>1.0242</v>
      </c>
      <c r="AL30" s="28" t="n">
        <f aca="false">REGIONS!$F$10*(1+ASSUMPTIONS!$B$19*$A30)</f>
        <v>0.7966</v>
      </c>
      <c r="AM30" s="28" t="n">
        <f aca="false">REGIONS!$F$11*(1+ASSUMPTIONS!$B$19*$A30)</f>
        <v>0.7966</v>
      </c>
      <c r="AN30" s="28" t="n">
        <f aca="false">REGIONS!$F$12*(1+ASSUMPTIONS!$B$19*$A30)</f>
        <v>1.2518</v>
      </c>
      <c r="AO30" s="28" t="n">
        <f aca="false">REGIONS!$F$13*(1+ASSUMPTIONS!$B$19*$A30)</f>
        <v>1.3656</v>
      </c>
      <c r="AP30" s="28" t="n">
        <f aca="false">REGIONS!$F$14*(1+ASSUMPTIONS!$B$19*$A30)</f>
        <v>1.3656</v>
      </c>
      <c r="AQ30" s="11" t="n">
        <f aca="false">SUMPRODUCT(($D$8:$D$47=REGIONS!$B$7)*($A$8:$A$47&lt;=$A30)*$L$8:$L$47)+SUMPRODUCT(($N$8:$N$47=REGIONS!$B$7)*($A$8:$A$47&lt;=$A30)*$V$8:$V$47)</f>
        <v>0</v>
      </c>
      <c r="AR30" s="11" t="n">
        <f aca="false">SUMPRODUCT(($D$8:$D$47=REGIONS!$B$8)*($A$8:$A$47&lt;=$A30)*$L$8:$L$47)+SUMPRODUCT(($N$8:$N$47=REGIONS!$B$8)*($A$8:$A$47&lt;=$A30)*$V$8:$V$47)</f>
        <v>0</v>
      </c>
      <c r="AS30" s="11" t="n">
        <f aca="false">SUMPRODUCT(($D$8:$D$47=REGIONS!$B$9)*($A$8:$A$47&lt;=$A30)*$L$8:$L$47)+SUMPRODUCT(($N$8:$N$47=REGIONS!$B$9)*($A$8:$A$47&lt;=$A30)*$V$8:$V$47)</f>
        <v>0</v>
      </c>
      <c r="AT30" s="11" t="n">
        <f aca="false">SUMPRODUCT(($D$8:$D$47=REGIONS!$B$10)*($A$8:$A$47&lt;=$A30)*$L$8:$L$47)+SUMPRODUCT(($N$8:$N$47=REGIONS!$B$10)*($A$8:$A$47&lt;=$A30)*$V$8:$V$47)</f>
        <v>0</v>
      </c>
      <c r="AU30" s="11" t="n">
        <f aca="false">SUMPRODUCT(($D$8:$D$47=REGIONS!$B$11)*($A$8:$A$47&lt;=$A30)*$L$8:$L$47)+SUMPRODUCT(($N$8:$N$47=REGIONS!$B$11)*($A$8:$A$47&lt;=$A30)*$V$8:$V$47)</f>
        <v>0</v>
      </c>
      <c r="AV30" s="11" t="n">
        <f aca="false">SUMPRODUCT(($D$8:$D$47=REGIONS!$B$12)*($A$8:$A$47&lt;=$A30)*$L$8:$L$47)+SUMPRODUCT(($N$8:$N$47=REGIONS!$B$12)*($A$8:$A$47&lt;=$A30)*$V$8:$V$47)</f>
        <v>0</v>
      </c>
      <c r="AW30" s="11" t="n">
        <f aca="false">SUMPRODUCT(($D$8:$D$47=REGIONS!$B$13)*($A$8:$A$47&lt;=$A30)*$L$8:$L$47)+SUMPRODUCT(($N$8:$N$47=REGIONS!$B$13)*($A$8:$A$47&lt;=$A30)*$V$8:$V$47)</f>
        <v>0</v>
      </c>
      <c r="AX30" s="11" t="n">
        <f aca="false">SUMPRODUCT(($D$8:$D$47=REGIONS!$B$14)*($A$8:$A$47&lt;=$A30)*$L$8:$L$47)+SUMPRODUCT(($N$8:$N$47=REGIONS!$B$14)*($A$8:$A$47&lt;=$A30)*$V$8:$V$47)</f>
        <v>0</v>
      </c>
      <c r="AY30" s="12" t="n">
        <f aca="false">MAX(0,MIN(135,100-(MAX(0,-$AA30)*REGIONS!$E$7*ASSUMPTIONS!$B$7+MAX(0,$AA30-ASSUMPTIONS!$B$9)*REGIONS!$E$7*ASSUMPTIONS!$B$8)*(1-$AQ30/100)))</f>
        <v>100</v>
      </c>
      <c r="AZ30" s="12" t="n">
        <f aca="false">MAX(0,MIN(135,100-(MAX(0,-$AB30)*REGIONS!$E$8*ASSUMPTIONS!$B$7+MAX(0,$AB30-ASSUMPTIONS!$B$9)*REGIONS!$E$8*ASSUMPTIONS!$B$8)*(1-$AR30/100)))</f>
        <v>100</v>
      </c>
      <c r="BA30" s="12" t="n">
        <f aca="false">MAX(0,MIN(135,100-(MAX(0,-$AC30)*REGIONS!$E$9*ASSUMPTIONS!$B$7+MAX(0,$AC30-ASSUMPTIONS!$B$9)*REGIONS!$E$9*ASSUMPTIONS!$B$8)*(1-$AS30/100)))</f>
        <v>92.748</v>
      </c>
      <c r="BB30" s="12" t="n">
        <f aca="false">MAX(0,MIN(135,100-(MAX(0,-$AD30)*REGIONS!$E$10*ASSUMPTIONS!$B$7+MAX(0,$AD30-ASSUMPTIONS!$B$9)*REGIONS!$E$10*ASSUMPTIONS!$B$8)*(1-$AT30/100)))</f>
        <v>100</v>
      </c>
      <c r="BC30" s="12" t="n">
        <f aca="false">MAX(0,MIN(135,100-(MAX(0,-$AE30)*REGIONS!$E$11*ASSUMPTIONS!$B$7+MAX(0,$AE30-ASSUMPTIONS!$B$9)*REGIONS!$E$11*ASSUMPTIONS!$B$8)*(1-$AU30/100)))</f>
        <v>100</v>
      </c>
      <c r="BD30" s="12" t="n">
        <f aca="false">MAX(0,MIN(135,100-(MAX(0,-$AF30)*REGIONS!$E$12*ASSUMPTIONS!$B$7+MAX(0,$AF30-ASSUMPTIONS!$B$9)*REGIONS!$E$12*ASSUMPTIONS!$B$8)*(1-$AV30/100)))</f>
        <v>100</v>
      </c>
      <c r="BE30" s="12" t="n">
        <f aca="false">MAX(0,MIN(135,100-(MAX(0,-$AG30)*REGIONS!$E$13*ASSUMPTIONS!$B$7+MAX(0,$AG30-ASSUMPTIONS!$B$9)*REGIONS!$E$13*ASSUMPTIONS!$B$8)*(1-$AW30/100)))</f>
        <v>97.19916</v>
      </c>
      <c r="BF30" s="12" t="n">
        <f aca="false">MAX(0,MIN(135,100-(MAX(0,-$AH30)*REGIONS!$E$14*ASSUMPTIONS!$B$7+MAX(0,$AH30-ASSUMPTIONS!$B$9)*REGIONS!$E$14*ASSUMPTIONS!$B$8)*(1-$AX30/100)))</f>
        <v>87.06792</v>
      </c>
      <c r="BG30" s="12" t="n">
        <f aca="false">$AY30*REGIONS!$D$7/100+$AZ30*REGIONS!$D$8/100+$BA30*REGIONS!$D$9/100+$BB30*REGIONS!$D$10/100+$BC30*REGIONS!$D$11/100+$BD30*REGIONS!$D$12/100+$BE30*REGIONS!$D$13/100+$BF30*REGIONS!$D$14/100</f>
        <v>97.9682248</v>
      </c>
      <c r="BH30" s="12" t="n">
        <f aca="false">100*(100/MAX(1,$BG30))^ASSUMPTIONS!$B$10</f>
        <v>103.763967849015</v>
      </c>
      <c r="BI30" s="12" t="n">
        <f aca="false">$AY30*$BH30/100*ASSUMPTIONS!$B$11</f>
        <v>88.199372671663</v>
      </c>
      <c r="BJ30" s="28" t="n">
        <f aca="false">MAX(0,ABS($AA30)-$AI30*ASSUMPTIONS!$B$24)*REGIONS!$D$7/100+MAX(0,ABS($AB30)-$AJ30*ASSUMPTIONS!$B$24)*REGIONS!$D$8/100+MAX(0,ABS($AC30)-$AK30*ASSUMPTIONS!$B$24)*REGIONS!$D$9/100+MAX(0,ABS($AD30)-$AL30*ASSUMPTIONS!$B$24)*REGIONS!$D$10/100+MAX(0,ABS($AE30)-$AM30*ASSUMPTIONS!$B$24)*REGIONS!$D$11/100+MAX(0,ABS($AF30)-$AN30*ASSUMPTIONS!$B$24)*REGIONS!$D$12/100+MAX(0,ABS($AG30)-$AO30*ASSUMPTIONS!$B$24)*REGIONS!$D$13/100+MAX(0,ABS($AH30)-$AP30*ASSUMPTIONS!$B$24)*REGIONS!$D$14/100</f>
        <v>0.00015000000000001</v>
      </c>
      <c r="BK30" s="12" t="n">
        <f aca="false">MIN(ASSUMPTIONS!$B$14,ASSUMPTIONS!$B$12+$BJ30*ASSUMPTIONS!$B$13)</f>
        <v>28.0063</v>
      </c>
      <c r="BL30" s="11" t="n">
        <f aca="false">$H30+$R30</f>
        <v>0</v>
      </c>
      <c r="BM30" s="11" t="n">
        <f aca="false">PLAY!$H30</f>
        <v>0</v>
      </c>
      <c r="BN30" s="12" t="n">
        <f aca="false">$BI30*ASSUMPTIONS!$B$15+$BK30*ASSUMPTIONS!$B$16</f>
        <v>35.7895947205996</v>
      </c>
      <c r="BO30" s="12" t="n">
        <f aca="false">$BO29+$BN30-$BL30-$BM30-ASSUMPTIONS!$B$23</f>
        <v>219.763649574514</v>
      </c>
      <c r="BP30" s="12" t="n">
        <f aca="false">(SUMPRODUCT(($F$8:$F$29+$A$8:$A$29=$A30)*($C$8:$C$29&lt;&gt;"NONE")*$G$8:$G$29)+SUMPRODUCT(($P$8:$P$29+$A$8:$A$29=$A30)*($M$8:$M$29&lt;&gt;"NONE")*$Q$8:$Q$29))*(1+ASSUMPTIONS!$B$22*(MAX(0,ABS($AA30)/$AI30-1)+MAX(0,ABS($AB30)/$AJ30-1)+MAX(0,ABS($AC30)/$AK30-1)+MAX(0,ABS($AD30)/$AL30-1)+MAX(0,ABS($AE30)/$AM30-1)+MAX(0,ABS($AF30)/$AN30-1)+MAX(0,ABS($AG30)/$AO30-1)+MAX(0,ABS($AH30)/$AP30-1))/8)</f>
        <v>0</v>
      </c>
      <c r="BQ30" s="12" t="n">
        <f aca="false">MAX(0,$BQ29*(1-ASSUMPTIONS!$B$18)+$BP30-$BM30*ASSUMPTIONS!$B$17)</f>
        <v>0.89618100133286</v>
      </c>
    </row>
    <row r="31" customFormat="false" ht="15" hidden="false" customHeight="false" outlineLevel="0" collapsed="false">
      <c r="A31" s="13" t="n">
        <v>24</v>
      </c>
      <c r="B31" s="11" t="n">
        <f aca="false">CLIMATE!B31</f>
        <v>1951</v>
      </c>
      <c r="C31" s="13" t="str">
        <f aca="false">IFERROR(INDEX(CAPABILITIES!$B$7:$B$15,MATCH(PLAY!$D31,CAPABILITIES!$A$7:$A$15,0)),"NONE")</f>
        <v>NONE</v>
      </c>
      <c r="D31" s="13" t="n">
        <f aca="false">IFERROR(IF(INDEX(CAPABILITIES!$B$7:$B$15,MATCH(PLAY!$D31,CAPABILITIES!$A$7:$A$15,0))="DRIVER",INDEX(CAPABILITIES!$C$7:$C$15,MATCH(PLAY!$D31,CAPABILITIES!$A$7:$A$15,0)),PLAY!$E31),"")</f>
        <v>0</v>
      </c>
      <c r="E31" s="13" t="n">
        <f aca="false">IFERROR(INDEX(CAPABILITIES!$D$7:$D$15,MATCH(PLAY!$D31,CAPABILITIES!$A$7:$A$15,0))*IF(INDEX(CAPABILITIES!$K$7:$K$15,MATCH(PLAY!$D31,CAPABILITIES!$A$7:$A$15,0))="Y",IF(IFERROR(INDEX($AA30:$AH30,MATCH(PLAY!$E31,REGIONS!$B$7:$B$14,0)),0)&lt;ASSUMPTIONS!$B$20,1,ASSUMPTIONS!$B$21),1),0)</f>
        <v>0</v>
      </c>
      <c r="F31" s="13" t="n">
        <f aca="false">IFERROR(INDEX(CAPABILITIES!$E$7:$E$15,MATCH(PLAY!$D31,CAPABILITIES!$A$7:$A$15,0)),0)</f>
        <v>0</v>
      </c>
      <c r="G31" s="13" t="n">
        <f aca="false">IFERROR(INDEX(CAPABILITIES!$F$7:$F$15,MATCH(PLAY!$D31,CAPABILITIES!$A$7:$A$15,0)),0)</f>
        <v>0</v>
      </c>
      <c r="H31" s="13" t="n">
        <f aca="false">IFERROR(INDEX(CAPABILITIES!$G$7:$G$15,MATCH(PLAY!$D31,CAPABILITIES!$A$7:$A$15,0)),0)</f>
        <v>0</v>
      </c>
      <c r="I31" s="13" t="n">
        <f aca="false">IFERROR(INDEX(CAPABILITIES!$H$7:$H$15,MATCH(PLAY!$D31,CAPABILITIES!$A$7:$A$15,0)),"")</f>
        <v>0</v>
      </c>
      <c r="J31" s="13" t="n">
        <f aca="false">IFERROR(INDEX(CAPABILITIES!$D$7:$D$15,MATCH(PLAY!$D31,CAPABILITIES!$A$7:$A$15,0))*INDEX(CAPABILITIES!$I$7:$I$15,MATCH(PLAY!$D31,CAPABILITIES!$A$7:$A$15,0)),0)</f>
        <v>0</v>
      </c>
      <c r="K31" s="13" t="n">
        <f aca="false">IFERROR(INDEX(CAPABILITIES!$E$7:$E$15,MATCH(PLAY!$D31,CAPABILITIES!$A$7:$A$15,0))+INDEX(CAPABILITIES!$J$7:$J$15,MATCH(PLAY!$D31,CAPABILITIES!$A$7:$A$15,0)),0)</f>
        <v>0</v>
      </c>
      <c r="L31" s="13" t="n">
        <f aca="false">IFERROR(INDEX(CAPABILITIES!$L$7:$L$15,MATCH(PLAY!$D31,CAPABILITIES!$A$7:$A$15,0)),0)</f>
        <v>0</v>
      </c>
      <c r="M31" s="13" t="str">
        <f aca="false">IFERROR(INDEX(CAPABILITIES!$B$7:$B$15,MATCH(PLAY!$F31,CAPABILITIES!$A$7:$A$15,0)),"NONE")</f>
        <v>NONE</v>
      </c>
      <c r="N31" s="13" t="n">
        <f aca="false">IFERROR(IF(INDEX(CAPABILITIES!$B$7:$B$15,MATCH(PLAY!$F31,CAPABILITIES!$A$7:$A$15,0))="DRIVER",INDEX(CAPABILITIES!$C$7:$C$15,MATCH(PLAY!$F31,CAPABILITIES!$A$7:$A$15,0)),PLAY!$G31),"")</f>
        <v>0</v>
      </c>
      <c r="O31" s="13" t="n">
        <f aca="false">IFERROR(INDEX(CAPABILITIES!$D$7:$D$15,MATCH(PLAY!$F31,CAPABILITIES!$A$7:$A$15,0))*IF(INDEX(CAPABILITIES!$K$7:$K$15,MATCH(PLAY!$F31,CAPABILITIES!$A$7:$A$15,0))="Y",IF(IFERROR(INDEX($AA30:$AH30,MATCH(PLAY!$G31,REGIONS!$B$7:$B$14,0)),0)&lt;ASSUMPTIONS!$B$20,1,ASSUMPTIONS!$B$21),1),0)</f>
        <v>0</v>
      </c>
      <c r="P31" s="13" t="n">
        <f aca="false">IFERROR(INDEX(CAPABILITIES!$E$7:$E$15,MATCH(PLAY!$F31,CAPABILITIES!$A$7:$A$15,0)),0)</f>
        <v>0</v>
      </c>
      <c r="Q31" s="13" t="n">
        <f aca="false">IFERROR(INDEX(CAPABILITIES!$F$7:$F$15,MATCH(PLAY!$F31,CAPABILITIES!$A$7:$A$15,0)),0)</f>
        <v>0</v>
      </c>
      <c r="R31" s="13" t="n">
        <f aca="false">IFERROR(INDEX(CAPABILITIES!$G$7:$G$15,MATCH(PLAY!$F31,CAPABILITIES!$A$7:$A$15,0)),0)</f>
        <v>0</v>
      </c>
      <c r="S31" s="13" t="n">
        <f aca="false">IFERROR(INDEX(CAPABILITIES!$H$7:$H$15,MATCH(PLAY!$F31,CAPABILITIES!$A$7:$A$15,0)),"")</f>
        <v>0</v>
      </c>
      <c r="T31" s="13" t="n">
        <f aca="false">IFERROR(INDEX(CAPABILITIES!$D$7:$D$15,MATCH(PLAY!$F31,CAPABILITIES!$A$7:$A$15,0))*INDEX(CAPABILITIES!$I$7:$I$15,MATCH(PLAY!$F31,CAPABILITIES!$A$7:$A$15,0)),0)</f>
        <v>0</v>
      </c>
      <c r="U31" s="13" t="n">
        <f aca="false">IFERROR(INDEX(CAPABILITIES!$E$7:$E$15,MATCH(PLAY!$F31,CAPABILITIES!$A$7:$A$15,0))+INDEX(CAPABILITIES!$J$7:$J$15,MATCH(PLAY!$F31,CAPABILITIES!$A$7:$A$15,0)),0)</f>
        <v>0</v>
      </c>
      <c r="V31" s="13" t="n">
        <f aca="false">IFERROR(INDEX(CAPABILITIES!$L$7:$L$15,MATCH(PLAY!$F31,CAPABILITIES!$A$7:$A$15,0)),0)</f>
        <v>0</v>
      </c>
      <c r="W31" s="28" t="n">
        <f aca="false">CLIMATE!D31+SUMPRODUCT(($D$8:$D$30="ENSO")*($F$8:$F$30+$A$8:$A$30=$A31)*$E$8:$E$30)+SUMPRODUCT(($I$8:$I$30="ENSO")*($K$8:$K$30+$A$8:$A$30=$A31)*$J$8:$J$30)+SUMPRODUCT(($N$8:$N$30="ENSO")*($P$8:$P$30+$A$8:$A$30=$A31)*$O$8:$O$30)+SUMPRODUCT(($S$8:$S$30="ENSO")*($U$8:$U$30+$A$8:$A$30=$A31)*$T$8:$T$30)</f>
        <v>-1.249</v>
      </c>
      <c r="X31" s="28" t="n">
        <f aca="false">CLIMATE!E31+SUMPRODUCT(($D$8:$D$30="IOD")*($F$8:$F$30+$A$8:$A$30=$A31)*$E$8:$E$30)+SUMPRODUCT(($I$8:$I$30="IOD")*($K$8:$K$30+$A$8:$A$30=$A31)*$J$8:$J$30)+SUMPRODUCT(($N$8:$N$30="IOD")*($P$8:$P$30+$A$8:$A$30=$A31)*$O$8:$O$30)+SUMPRODUCT(($S$8:$S$30="IOD")*($U$8:$U$30+$A$8:$A$30=$A31)*$T$8:$T$30)</f>
        <v>-0.507</v>
      </c>
      <c r="Y31" s="28" t="n">
        <f aca="false">CLIMATE!F31+SUMPRODUCT(($D$8:$D$30="NATL")*($F$8:$F$30+$A$8:$A$30=$A31)*$E$8:$E$30)+SUMPRODUCT(($I$8:$I$30="NATL")*($K$8:$K$30+$A$8:$A$30=$A31)*$J$8:$J$30)+SUMPRODUCT(($N$8:$N$30="NATL")*($P$8:$P$30+$A$8:$A$30=$A31)*$O$8:$O$30)+SUMPRODUCT(($S$8:$S$30="NATL")*($U$8:$U$30+$A$8:$A$30=$A31)*$T$8:$T$30)</f>
        <v>-0.298</v>
      </c>
      <c r="Z31" s="28" t="n">
        <f aca="false">CLIMATE!G31+SUMPRODUCT(($D$8:$D$30="GLOBAL")*($F$8:$F$30+$A$8:$A$30=$A31)*$E$8:$E$30)+SUMPRODUCT(($I$8:$I$30="GLOBAL")*($K$8:$K$30+$A$8:$A$30=$A31)*$J$8:$J$30)+SUMPRODUCT(($N$8:$N$30="GLOBAL")*($P$8:$P$30+$A$8:$A$30=$A31)*$O$8:$O$30)+SUMPRODUCT(($S$8:$S$30="GLOBAL")*($U$8:$U$30+$A$8:$A$30=$A31)*$T$8:$T$30)</f>
        <v>0</v>
      </c>
      <c r="AA31" s="28" t="n">
        <f aca="false">CLIMATE!H31+IFERROR(INDEX($W$8:$W$47,$A31-GRAPH!B17),0)*GRAPH!B9+IFERROR(INDEX($X$8:$X$47,$A31-GRAPH!B18),0)*GRAPH!B10+IFERROR(INDEX($Y$8:$Y$47,$A31-GRAPH!B19),0)*GRAPH!B11+IFERROR(INDEX($Z$8:$Z$47,$A31-GRAPH!B20),0)*GRAPH!B12+SUMPRODUCT(($D$8:$D$30=REGIONS!$B$7)*($F$8:$F$30+$A$8:$A$30=$A31)*$E$8:$E$30)+SUMPRODUCT(($N$8:$N$30=REGIONS!$B$7)*($P$8:$P$30+$A$8:$A$30=$A31)*$O$8:$O$30)</f>
        <v>0.1488</v>
      </c>
      <c r="AB31" s="28" t="n">
        <f aca="false">CLIMATE!I31+IFERROR(INDEX($W$8:$W$47,$A31-GRAPH!C17),0)*GRAPH!C9+IFERROR(INDEX($X$8:$X$47,$A31-GRAPH!C18),0)*GRAPH!C10+IFERROR(INDEX($Y$8:$Y$47,$A31-GRAPH!C19),0)*GRAPH!C11+IFERROR(INDEX($Z$8:$Z$47,$A31-GRAPH!C20),0)*GRAPH!C12+SUMPRODUCT(($D$8:$D$30=REGIONS!$B$8)*($F$8:$F$30+$A$8:$A$30=$A31)*$E$8:$E$30)+SUMPRODUCT(($N$8:$N$30=REGIONS!$B$8)*($P$8:$P$30+$A$8:$A$30=$A31)*$O$8:$O$30)</f>
        <v>0.0792</v>
      </c>
      <c r="AC31" s="28" t="n">
        <f aca="false">CLIMATE!J31+IFERROR(INDEX($W$8:$W$47,$A31-GRAPH!D17),0)*GRAPH!D9+IFERROR(INDEX($X$8:$X$47,$A31-GRAPH!D18),0)*GRAPH!D10+IFERROR(INDEX($Y$8:$Y$47,$A31-GRAPH!D19),0)*GRAPH!D11+IFERROR(INDEX($Z$8:$Z$47,$A31-GRAPH!D20),0)*GRAPH!D12+SUMPRODUCT(($D$8:$D$30=REGIONS!$B$9)*($F$8:$F$30+$A$8:$A$30=$A31)*$E$8:$E$30)+SUMPRODUCT(($N$8:$N$30=REGIONS!$B$9)*($P$8:$P$30+$A$8:$A$30=$A31)*$O$8:$O$30)</f>
        <v>-0.4785</v>
      </c>
      <c r="AD31" s="28" t="n">
        <f aca="false">CLIMATE!K31+IFERROR(INDEX($W$8:$W$47,$A31-GRAPH!E17),0)*GRAPH!E9+IFERROR(INDEX($X$8:$X$47,$A31-GRAPH!E18),0)*GRAPH!E10+IFERROR(INDEX($Y$8:$Y$47,$A31-GRAPH!E19),0)*GRAPH!E11+IFERROR(INDEX($Z$8:$Z$47,$A31-GRAPH!E20),0)*GRAPH!E12+SUMPRODUCT(($D$8:$D$30=REGIONS!$B$10)*($F$8:$F$30+$A$8:$A$30=$A31)*$E$8:$E$30)+SUMPRODUCT(($N$8:$N$30=REGIONS!$B$10)*($P$8:$P$30+$A$8:$A$30=$A31)*$O$8:$O$30)</f>
        <v>0.3684</v>
      </c>
      <c r="AE31" s="28" t="n">
        <f aca="false">CLIMATE!L31+IFERROR(INDEX($W$8:$W$47,$A31-GRAPH!F17),0)*GRAPH!F9+IFERROR(INDEX($X$8:$X$47,$A31-GRAPH!F18),0)*GRAPH!F10+IFERROR(INDEX($Y$8:$Y$47,$A31-GRAPH!F19),0)*GRAPH!F11+IFERROR(INDEX($Z$8:$Z$47,$A31-GRAPH!F20),0)*GRAPH!F12+SUMPRODUCT(($D$8:$D$30=REGIONS!$B$11)*($F$8:$F$30+$A$8:$A$30=$A31)*$E$8:$E$30)+SUMPRODUCT(($N$8:$N$30=REGIONS!$B$11)*($P$8:$P$30+$A$8:$A$30=$A31)*$O$8:$O$30)</f>
        <v>1.3763</v>
      </c>
      <c r="AF31" s="28" t="n">
        <f aca="false">CLIMATE!M31+IFERROR(INDEX($W$8:$W$47,$A31-GRAPH!G17),0)*GRAPH!G9+IFERROR(INDEX($X$8:$X$47,$A31-GRAPH!G18),0)*GRAPH!G10+IFERROR(INDEX($Y$8:$Y$47,$A31-GRAPH!G19),0)*GRAPH!G11+IFERROR(INDEX($Z$8:$Z$47,$A31-GRAPH!G20),0)*GRAPH!G12+SUMPRODUCT(($D$8:$D$30=REGIONS!$B$12)*($F$8:$F$30+$A$8:$A$30=$A31)*$E$8:$E$30)+SUMPRODUCT(($N$8:$N$30=REGIONS!$B$12)*($P$8:$P$30+$A$8:$A$30=$A31)*$O$8:$O$30)</f>
        <v>1.6207</v>
      </c>
      <c r="AG31" s="28" t="n">
        <f aca="false">CLIMATE!N31+IFERROR(INDEX($W$8:$W$47,$A31-GRAPH!H17),0)*GRAPH!H9+IFERROR(INDEX($X$8:$X$47,$A31-GRAPH!H18),0)*GRAPH!H10+IFERROR(INDEX($Y$8:$Y$47,$A31-GRAPH!H19),0)*GRAPH!H11+IFERROR(INDEX($Z$8:$Z$47,$A31-GRAPH!H20),0)*GRAPH!H12+SUMPRODUCT(($D$8:$D$30=REGIONS!$B$13)*($F$8:$F$30+$A$8:$A$30=$A31)*$E$8:$E$30)+SUMPRODUCT(($N$8:$N$30=REGIONS!$B$13)*($P$8:$P$30+$A$8:$A$30=$A31)*$O$8:$O$30)</f>
        <v>-0.3173</v>
      </c>
      <c r="AH31" s="28" t="n">
        <f aca="false">CLIMATE!O31+IFERROR(INDEX($W$8:$W$47,$A31-GRAPH!I17),0)*GRAPH!I9+IFERROR(INDEX($X$8:$X$47,$A31-GRAPH!I18),0)*GRAPH!I10+IFERROR(INDEX($Y$8:$Y$47,$A31-GRAPH!I19),0)*GRAPH!I11+IFERROR(INDEX($Z$8:$Z$47,$A31-GRAPH!I20),0)*GRAPH!I12+SUMPRODUCT(($D$8:$D$30=REGIONS!$B$14)*($F$8:$F$30+$A$8:$A$30=$A31)*$E$8:$E$30)+SUMPRODUCT(($N$8:$N$30=REGIONS!$B$14)*($P$8:$P$30+$A$8:$A$30=$A31)*$O$8:$O$30)</f>
        <v>-0.8232</v>
      </c>
      <c r="AI31" s="28" t="n">
        <f aca="false">REGIONS!$F$7*(1+ASSUMPTIONS!$B$19*$A31)</f>
        <v>0.9152</v>
      </c>
      <c r="AJ31" s="28" t="n">
        <f aca="false">REGIONS!$F$8*(1+ASSUMPTIONS!$B$19*$A31)</f>
        <v>1.0296</v>
      </c>
      <c r="AK31" s="28" t="n">
        <f aca="false">REGIONS!$F$9*(1+ASSUMPTIONS!$B$19*$A31)</f>
        <v>1.0296</v>
      </c>
      <c r="AL31" s="28" t="n">
        <f aca="false">REGIONS!$F$10*(1+ASSUMPTIONS!$B$19*$A31)</f>
        <v>0.8008</v>
      </c>
      <c r="AM31" s="28" t="n">
        <f aca="false">REGIONS!$F$11*(1+ASSUMPTIONS!$B$19*$A31)</f>
        <v>0.8008</v>
      </c>
      <c r="AN31" s="28" t="n">
        <f aca="false">REGIONS!$F$12*(1+ASSUMPTIONS!$B$19*$A31)</f>
        <v>1.2584</v>
      </c>
      <c r="AO31" s="28" t="n">
        <f aca="false">REGIONS!$F$13*(1+ASSUMPTIONS!$B$19*$A31)</f>
        <v>1.3728</v>
      </c>
      <c r="AP31" s="28" t="n">
        <f aca="false">REGIONS!$F$14*(1+ASSUMPTIONS!$B$19*$A31)</f>
        <v>1.3728</v>
      </c>
      <c r="AQ31" s="11" t="n">
        <f aca="false">SUMPRODUCT(($D$8:$D$47=REGIONS!$B$7)*($A$8:$A$47&lt;=$A31)*$L$8:$L$47)+SUMPRODUCT(($N$8:$N$47=REGIONS!$B$7)*($A$8:$A$47&lt;=$A31)*$V$8:$V$47)</f>
        <v>0</v>
      </c>
      <c r="AR31" s="11" t="n">
        <f aca="false">SUMPRODUCT(($D$8:$D$47=REGIONS!$B$8)*($A$8:$A$47&lt;=$A31)*$L$8:$L$47)+SUMPRODUCT(($N$8:$N$47=REGIONS!$B$8)*($A$8:$A$47&lt;=$A31)*$V$8:$V$47)</f>
        <v>0</v>
      </c>
      <c r="AS31" s="11" t="n">
        <f aca="false">SUMPRODUCT(($D$8:$D$47=REGIONS!$B$9)*($A$8:$A$47&lt;=$A31)*$L$8:$L$47)+SUMPRODUCT(($N$8:$N$47=REGIONS!$B$9)*($A$8:$A$47&lt;=$A31)*$V$8:$V$47)</f>
        <v>0</v>
      </c>
      <c r="AT31" s="11" t="n">
        <f aca="false">SUMPRODUCT(($D$8:$D$47=REGIONS!$B$10)*($A$8:$A$47&lt;=$A31)*$L$8:$L$47)+SUMPRODUCT(($N$8:$N$47=REGIONS!$B$10)*($A$8:$A$47&lt;=$A31)*$V$8:$V$47)</f>
        <v>0</v>
      </c>
      <c r="AU31" s="11" t="n">
        <f aca="false">SUMPRODUCT(($D$8:$D$47=REGIONS!$B$11)*($A$8:$A$47&lt;=$A31)*$L$8:$L$47)+SUMPRODUCT(($N$8:$N$47=REGIONS!$B$11)*($A$8:$A$47&lt;=$A31)*$V$8:$V$47)</f>
        <v>0</v>
      </c>
      <c r="AV31" s="11" t="n">
        <f aca="false">SUMPRODUCT(($D$8:$D$47=REGIONS!$B$12)*($A$8:$A$47&lt;=$A31)*$L$8:$L$47)+SUMPRODUCT(($N$8:$N$47=REGIONS!$B$12)*($A$8:$A$47&lt;=$A31)*$V$8:$V$47)</f>
        <v>0</v>
      </c>
      <c r="AW31" s="11" t="n">
        <f aca="false">SUMPRODUCT(($D$8:$D$47=REGIONS!$B$13)*($A$8:$A$47&lt;=$A31)*$L$8:$L$47)+SUMPRODUCT(($N$8:$N$47=REGIONS!$B$13)*($A$8:$A$47&lt;=$A31)*$V$8:$V$47)</f>
        <v>0</v>
      </c>
      <c r="AX31" s="11" t="n">
        <f aca="false">SUMPRODUCT(($D$8:$D$47=REGIONS!$B$14)*($A$8:$A$47&lt;=$A31)*$L$8:$L$47)+SUMPRODUCT(($N$8:$N$47=REGIONS!$B$14)*($A$8:$A$47&lt;=$A31)*$V$8:$V$47)</f>
        <v>0</v>
      </c>
      <c r="AY31" s="12" t="n">
        <f aca="false">MAX(0,MIN(135,100-(MAX(0,-$AA31)*REGIONS!$E$7*ASSUMPTIONS!$B$7+MAX(0,$AA31-ASSUMPTIONS!$B$9)*REGIONS!$E$7*ASSUMPTIONS!$B$8)*(1-$AQ31/100)))</f>
        <v>100</v>
      </c>
      <c r="AZ31" s="12" t="n">
        <f aca="false">MAX(0,MIN(135,100-(MAX(0,-$AB31)*REGIONS!$E$8*ASSUMPTIONS!$B$7+MAX(0,$AB31-ASSUMPTIONS!$B$9)*REGIONS!$E$8*ASSUMPTIONS!$B$8)*(1-$AR31/100)))</f>
        <v>100</v>
      </c>
      <c r="BA31" s="12" t="n">
        <f aca="false">MAX(0,MIN(135,100-(MAX(0,-$AC31)*REGIONS!$E$9*ASSUMPTIONS!$B$7+MAX(0,$AC31-ASSUMPTIONS!$B$9)*REGIONS!$E$9*ASSUMPTIONS!$B$8)*(1-$AS31/100)))</f>
        <v>93.301</v>
      </c>
      <c r="BB31" s="12" t="n">
        <f aca="false">MAX(0,MIN(135,100-(MAX(0,-$AD31)*REGIONS!$E$10*ASSUMPTIONS!$B$7+MAX(0,$AD31-ASSUMPTIONS!$B$9)*REGIONS!$E$10*ASSUMPTIONS!$B$8)*(1-$AT31/100)))</f>
        <v>100</v>
      </c>
      <c r="BC31" s="12" t="n">
        <f aca="false">MAX(0,MIN(135,100-(MAX(0,-$AE31)*REGIONS!$E$11*ASSUMPTIONS!$B$7+MAX(0,$AE31-ASSUMPTIONS!$B$9)*REGIONS!$E$11*ASSUMPTIONS!$B$8)*(1-$AU31/100)))</f>
        <v>98.44856</v>
      </c>
      <c r="BD31" s="12" t="n">
        <f aca="false">MAX(0,MIN(135,100-(MAX(0,-$AF31)*REGIONS!$E$12*ASSUMPTIONS!$B$7+MAX(0,$AF31-ASSUMPTIONS!$B$9)*REGIONS!$E$12*ASSUMPTIONS!$B$8)*(1-$AV31/100)))</f>
        <v>95.62472</v>
      </c>
      <c r="BE31" s="12" t="n">
        <f aca="false">MAX(0,MIN(135,100-(MAX(0,-$AG31)*REGIONS!$E$13*ASSUMPTIONS!$B$7+MAX(0,$AG31-ASSUMPTIONS!$B$9)*REGIONS!$E$13*ASSUMPTIONS!$B$8)*(1-$AW31/100)))</f>
        <v>93.78092</v>
      </c>
      <c r="BF31" s="12" t="n">
        <f aca="false">MAX(0,MIN(135,100-(MAX(0,-$AH31)*REGIONS!$E$14*ASSUMPTIONS!$B$7+MAX(0,$AH31-ASSUMPTIONS!$B$9)*REGIONS!$E$14*ASSUMPTIONS!$B$8)*(1-$AX31/100)))</f>
        <v>83.86528</v>
      </c>
      <c r="BG31" s="12" t="n">
        <f aca="false">$AY31*REGIONS!$D$7/100+$AZ31*REGIONS!$D$8/100+$BA31*REGIONS!$D$9/100+$BB31*REGIONS!$D$10/100+$BC31*REGIONS!$D$11/100+$BD31*REGIONS!$D$12/100+$BE31*REGIONS!$D$13/100+$BF31*REGIONS!$D$14/100</f>
        <v>97.1614796</v>
      </c>
      <c r="BH31" s="12" t="n">
        <f aca="false">100*(100/MAX(1,$BG31))^ASSUMPTIONS!$B$10</f>
        <v>105.319935504764</v>
      </c>
      <c r="BI31" s="12" t="n">
        <f aca="false">$AY31*$BH31/100*ASSUMPTIONS!$B$11</f>
        <v>89.5219451790491</v>
      </c>
      <c r="BJ31" s="28" t="n">
        <f aca="false">MAX(0,ABS($AA31)-$AI31*ASSUMPTIONS!$B$24)*REGIONS!$D$7/100+MAX(0,ABS($AB31)-$AJ31*ASSUMPTIONS!$B$24)*REGIONS!$D$8/100+MAX(0,ABS($AC31)-$AK31*ASSUMPTIONS!$B$24)*REGIONS!$D$9/100+MAX(0,ABS($AD31)-$AL31*ASSUMPTIONS!$B$24)*REGIONS!$D$10/100+MAX(0,ABS($AE31)-$AM31*ASSUMPTIONS!$B$24)*REGIONS!$D$11/100+MAX(0,ABS($AF31)-$AN31*ASSUMPTIONS!$B$24)*REGIONS!$D$12/100+MAX(0,ABS($AG31)-$AO31*ASSUMPTIONS!$B$24)*REGIONS!$D$13/100+MAX(0,ABS($AH31)-$AP31*ASSUMPTIONS!$B$24)*REGIONS!$D$14/100</f>
        <v>0.140467</v>
      </c>
      <c r="BK31" s="12" t="n">
        <f aca="false">MIN(ASSUMPTIONS!$B$14,ASSUMPTIONS!$B$12+$BJ31*ASSUMPTIONS!$B$13)</f>
        <v>33.899614</v>
      </c>
      <c r="BL31" s="11" t="n">
        <f aca="false">$H31+$R31</f>
        <v>0</v>
      </c>
      <c r="BM31" s="11" t="n">
        <f aca="false">PLAY!$H31</f>
        <v>0</v>
      </c>
      <c r="BN31" s="12" t="n">
        <f aca="false">$BI31*ASSUMPTIONS!$B$15+$BK31*ASSUMPTIONS!$B$16</f>
        <v>41.2522860214859</v>
      </c>
      <c r="BO31" s="12" t="n">
        <f aca="false">$BO30+$BN31-$BL31-$BM31-ASSUMPTIONS!$B$23</f>
        <v>229.015935596</v>
      </c>
      <c r="BP31" s="12" t="n">
        <f aca="false">(SUMPRODUCT(($F$8:$F$30+$A$8:$A$30=$A31)*($C$8:$C$30&lt;&gt;"NONE")*$G$8:$G$30)+SUMPRODUCT(($P$8:$P$30+$A$8:$A$30=$A31)*($M$8:$M$30&lt;&gt;"NONE")*$Q$8:$Q$30))*(1+ASSUMPTIONS!$B$22*(MAX(0,ABS($AA31)/$AI31-1)+MAX(0,ABS($AB31)/$AJ31-1)+MAX(0,ABS($AC31)/$AK31-1)+MAX(0,ABS($AD31)/$AL31-1)+MAX(0,ABS($AE31)/$AM31-1)+MAX(0,ABS($AF31)/$AN31-1)+MAX(0,ABS($AG31)/$AO31-1)+MAX(0,ABS($AH31)/$AP31-1))/8)</f>
        <v>0</v>
      </c>
      <c r="BQ31" s="12" t="n">
        <f aca="false">MAX(0,$BQ30*(1-ASSUMPTIONS!$B$18)+$BP31-$BM31*ASSUMPTIONS!$B$17)</f>
        <v>0.860333761279546</v>
      </c>
    </row>
    <row r="32" customFormat="false" ht="15" hidden="false" customHeight="false" outlineLevel="0" collapsed="false">
      <c r="A32" s="13" t="n">
        <v>25</v>
      </c>
      <c r="B32" s="11" t="n">
        <f aca="false">CLIMATE!B32</f>
        <v>1952</v>
      </c>
      <c r="C32" s="13" t="str">
        <f aca="false">IFERROR(INDEX(CAPABILITIES!$B$7:$B$15,MATCH(PLAY!$D32,CAPABILITIES!$A$7:$A$15,0)),"NONE")</f>
        <v>NONE</v>
      </c>
      <c r="D32" s="13" t="n">
        <f aca="false">IFERROR(IF(INDEX(CAPABILITIES!$B$7:$B$15,MATCH(PLAY!$D32,CAPABILITIES!$A$7:$A$15,0))="DRIVER",INDEX(CAPABILITIES!$C$7:$C$15,MATCH(PLAY!$D32,CAPABILITIES!$A$7:$A$15,0)),PLAY!$E32),"")</f>
        <v>0</v>
      </c>
      <c r="E32" s="13" t="n">
        <f aca="false">IFERROR(INDEX(CAPABILITIES!$D$7:$D$15,MATCH(PLAY!$D32,CAPABILITIES!$A$7:$A$15,0))*IF(INDEX(CAPABILITIES!$K$7:$K$15,MATCH(PLAY!$D32,CAPABILITIES!$A$7:$A$15,0))="Y",IF(IFERROR(INDEX($AA31:$AH31,MATCH(PLAY!$E32,REGIONS!$B$7:$B$14,0)),0)&lt;ASSUMPTIONS!$B$20,1,ASSUMPTIONS!$B$21),1),0)</f>
        <v>0</v>
      </c>
      <c r="F32" s="13" t="n">
        <f aca="false">IFERROR(INDEX(CAPABILITIES!$E$7:$E$15,MATCH(PLAY!$D32,CAPABILITIES!$A$7:$A$15,0)),0)</f>
        <v>0</v>
      </c>
      <c r="G32" s="13" t="n">
        <f aca="false">IFERROR(INDEX(CAPABILITIES!$F$7:$F$15,MATCH(PLAY!$D32,CAPABILITIES!$A$7:$A$15,0)),0)</f>
        <v>0</v>
      </c>
      <c r="H32" s="13" t="n">
        <f aca="false">IFERROR(INDEX(CAPABILITIES!$G$7:$G$15,MATCH(PLAY!$D32,CAPABILITIES!$A$7:$A$15,0)),0)</f>
        <v>0</v>
      </c>
      <c r="I32" s="13" t="n">
        <f aca="false">IFERROR(INDEX(CAPABILITIES!$H$7:$H$15,MATCH(PLAY!$D32,CAPABILITIES!$A$7:$A$15,0)),"")</f>
        <v>0</v>
      </c>
      <c r="J32" s="13" t="n">
        <f aca="false">IFERROR(INDEX(CAPABILITIES!$D$7:$D$15,MATCH(PLAY!$D32,CAPABILITIES!$A$7:$A$15,0))*INDEX(CAPABILITIES!$I$7:$I$15,MATCH(PLAY!$D32,CAPABILITIES!$A$7:$A$15,0)),0)</f>
        <v>0</v>
      </c>
      <c r="K32" s="13" t="n">
        <f aca="false">IFERROR(INDEX(CAPABILITIES!$E$7:$E$15,MATCH(PLAY!$D32,CAPABILITIES!$A$7:$A$15,0))+INDEX(CAPABILITIES!$J$7:$J$15,MATCH(PLAY!$D32,CAPABILITIES!$A$7:$A$15,0)),0)</f>
        <v>0</v>
      </c>
      <c r="L32" s="13" t="n">
        <f aca="false">IFERROR(INDEX(CAPABILITIES!$L$7:$L$15,MATCH(PLAY!$D32,CAPABILITIES!$A$7:$A$15,0)),0)</f>
        <v>0</v>
      </c>
      <c r="M32" s="13" t="str">
        <f aca="false">IFERROR(INDEX(CAPABILITIES!$B$7:$B$15,MATCH(PLAY!$F32,CAPABILITIES!$A$7:$A$15,0)),"NONE")</f>
        <v>NONE</v>
      </c>
      <c r="N32" s="13" t="n">
        <f aca="false">IFERROR(IF(INDEX(CAPABILITIES!$B$7:$B$15,MATCH(PLAY!$F32,CAPABILITIES!$A$7:$A$15,0))="DRIVER",INDEX(CAPABILITIES!$C$7:$C$15,MATCH(PLAY!$F32,CAPABILITIES!$A$7:$A$15,0)),PLAY!$G32),"")</f>
        <v>0</v>
      </c>
      <c r="O32" s="13" t="n">
        <f aca="false">IFERROR(INDEX(CAPABILITIES!$D$7:$D$15,MATCH(PLAY!$F32,CAPABILITIES!$A$7:$A$15,0))*IF(INDEX(CAPABILITIES!$K$7:$K$15,MATCH(PLAY!$F32,CAPABILITIES!$A$7:$A$15,0))="Y",IF(IFERROR(INDEX($AA31:$AH31,MATCH(PLAY!$G32,REGIONS!$B$7:$B$14,0)),0)&lt;ASSUMPTIONS!$B$20,1,ASSUMPTIONS!$B$21),1),0)</f>
        <v>0</v>
      </c>
      <c r="P32" s="13" t="n">
        <f aca="false">IFERROR(INDEX(CAPABILITIES!$E$7:$E$15,MATCH(PLAY!$F32,CAPABILITIES!$A$7:$A$15,0)),0)</f>
        <v>0</v>
      </c>
      <c r="Q32" s="13" t="n">
        <f aca="false">IFERROR(INDEX(CAPABILITIES!$F$7:$F$15,MATCH(PLAY!$F32,CAPABILITIES!$A$7:$A$15,0)),0)</f>
        <v>0</v>
      </c>
      <c r="R32" s="13" t="n">
        <f aca="false">IFERROR(INDEX(CAPABILITIES!$G$7:$G$15,MATCH(PLAY!$F32,CAPABILITIES!$A$7:$A$15,0)),0)</f>
        <v>0</v>
      </c>
      <c r="S32" s="13" t="n">
        <f aca="false">IFERROR(INDEX(CAPABILITIES!$H$7:$H$15,MATCH(PLAY!$F32,CAPABILITIES!$A$7:$A$15,0)),"")</f>
        <v>0</v>
      </c>
      <c r="T32" s="13" t="n">
        <f aca="false">IFERROR(INDEX(CAPABILITIES!$D$7:$D$15,MATCH(PLAY!$F32,CAPABILITIES!$A$7:$A$15,0))*INDEX(CAPABILITIES!$I$7:$I$15,MATCH(PLAY!$F32,CAPABILITIES!$A$7:$A$15,0)),0)</f>
        <v>0</v>
      </c>
      <c r="U32" s="13" t="n">
        <f aca="false">IFERROR(INDEX(CAPABILITIES!$E$7:$E$15,MATCH(PLAY!$F32,CAPABILITIES!$A$7:$A$15,0))+INDEX(CAPABILITIES!$J$7:$J$15,MATCH(PLAY!$F32,CAPABILITIES!$A$7:$A$15,0)),0)</f>
        <v>0</v>
      </c>
      <c r="V32" s="13" t="n">
        <f aca="false">IFERROR(INDEX(CAPABILITIES!$L$7:$L$15,MATCH(PLAY!$F32,CAPABILITIES!$A$7:$A$15,0)),0)</f>
        <v>0</v>
      </c>
      <c r="W32" s="28" t="n">
        <f aca="false">CLIMATE!D32+SUMPRODUCT(($D$8:$D$31="ENSO")*($F$8:$F$31+$A$8:$A$31=$A32)*$E$8:$E$31)+SUMPRODUCT(($I$8:$I$31="ENSO")*($K$8:$K$31+$A$8:$A$31=$A32)*$J$8:$J$31)+SUMPRODUCT(($N$8:$N$31="ENSO")*($P$8:$P$31+$A$8:$A$31=$A32)*$O$8:$O$31)+SUMPRODUCT(($S$8:$S$31="ENSO")*($U$8:$U$31+$A$8:$A$31=$A32)*$T$8:$T$31)</f>
        <v>-0.795</v>
      </c>
      <c r="X32" s="28" t="n">
        <f aca="false">CLIMATE!E32+SUMPRODUCT(($D$8:$D$31="IOD")*($F$8:$F$31+$A$8:$A$31=$A32)*$E$8:$E$31)+SUMPRODUCT(($I$8:$I$31="IOD")*($K$8:$K$31+$A$8:$A$31=$A32)*$J$8:$J$31)+SUMPRODUCT(($N$8:$N$31="IOD")*($P$8:$P$31+$A$8:$A$31=$A32)*$O$8:$O$31)+SUMPRODUCT(($S$8:$S$31="IOD")*($U$8:$U$31+$A$8:$A$31=$A32)*$T$8:$T$31)</f>
        <v>0.68</v>
      </c>
      <c r="Y32" s="28" t="n">
        <f aca="false">CLIMATE!F32+SUMPRODUCT(($D$8:$D$31="NATL")*($F$8:$F$31+$A$8:$A$31=$A32)*$E$8:$E$31)+SUMPRODUCT(($I$8:$I$31="NATL")*($K$8:$K$31+$A$8:$A$31=$A32)*$J$8:$J$31)+SUMPRODUCT(($N$8:$N$31="NATL")*($P$8:$P$31+$A$8:$A$31=$A32)*$O$8:$O$31)+SUMPRODUCT(($S$8:$S$31="NATL")*($U$8:$U$31+$A$8:$A$31=$A32)*$T$8:$T$31)</f>
        <v>-0.345</v>
      </c>
      <c r="Z32" s="28" t="n">
        <f aca="false">CLIMATE!G32+SUMPRODUCT(($D$8:$D$31="GLOBAL")*($F$8:$F$31+$A$8:$A$31=$A32)*$E$8:$E$31)+SUMPRODUCT(($I$8:$I$31="GLOBAL")*($K$8:$K$31+$A$8:$A$31=$A32)*$J$8:$J$31)+SUMPRODUCT(($N$8:$N$31="GLOBAL")*($P$8:$P$31+$A$8:$A$31=$A32)*$O$8:$O$31)+SUMPRODUCT(($S$8:$S$31="GLOBAL")*($U$8:$U$31+$A$8:$A$31=$A32)*$T$8:$T$31)</f>
        <v>0</v>
      </c>
      <c r="AA32" s="28" t="n">
        <f aca="false">CLIMATE!H32+IFERROR(INDEX($W$8:$W$47,$A32-GRAPH!B17),0)*GRAPH!B9+IFERROR(INDEX($X$8:$X$47,$A32-GRAPH!B18),0)*GRAPH!B10+IFERROR(INDEX($Y$8:$Y$47,$A32-GRAPH!B19),0)*GRAPH!B11+IFERROR(INDEX($Z$8:$Z$47,$A32-GRAPH!B20),0)*GRAPH!B12+SUMPRODUCT(($D$8:$D$31=REGIONS!$B$7)*($F$8:$F$31+$A$8:$A$31=$A32)*$E$8:$E$31)+SUMPRODUCT(($N$8:$N$31=REGIONS!$B$7)*($P$8:$P$31+$A$8:$A$31=$A32)*$O$8:$O$31)</f>
        <v>-0.2869</v>
      </c>
      <c r="AB32" s="28" t="n">
        <f aca="false">CLIMATE!I32+IFERROR(INDEX($W$8:$W$47,$A32-GRAPH!C17),0)*GRAPH!C9+IFERROR(INDEX($X$8:$X$47,$A32-GRAPH!C18),0)*GRAPH!C10+IFERROR(INDEX($Y$8:$Y$47,$A32-GRAPH!C19),0)*GRAPH!C11+IFERROR(INDEX($Z$8:$Z$47,$A32-GRAPH!C20),0)*GRAPH!C12+SUMPRODUCT(($D$8:$D$31=REGIONS!$B$8)*($F$8:$F$31+$A$8:$A$31=$A32)*$E$8:$E$31)+SUMPRODUCT(($N$8:$N$31=REGIONS!$B$8)*($P$8:$P$31+$A$8:$A$31=$A32)*$O$8:$O$31)</f>
        <v>0.2647</v>
      </c>
      <c r="AC32" s="28" t="n">
        <f aca="false">CLIMATE!J32+IFERROR(INDEX($W$8:$W$47,$A32-GRAPH!D17),0)*GRAPH!D9+IFERROR(INDEX($X$8:$X$47,$A32-GRAPH!D18),0)*GRAPH!D10+IFERROR(INDEX($Y$8:$Y$47,$A32-GRAPH!D19),0)*GRAPH!D11+IFERROR(INDEX($Z$8:$Z$47,$A32-GRAPH!D20),0)*GRAPH!D12+SUMPRODUCT(($D$8:$D$31=REGIONS!$B$9)*($F$8:$F$31+$A$8:$A$31=$A32)*$E$8:$E$31)+SUMPRODUCT(($N$8:$N$31=REGIONS!$B$9)*($P$8:$P$31+$A$8:$A$31=$A32)*$O$8:$O$31)</f>
        <v>-0.8335</v>
      </c>
      <c r="AD32" s="28" t="n">
        <f aca="false">CLIMATE!K32+IFERROR(INDEX($W$8:$W$47,$A32-GRAPH!E17),0)*GRAPH!E9+IFERROR(INDEX($X$8:$X$47,$A32-GRAPH!E18),0)*GRAPH!E10+IFERROR(INDEX($Y$8:$Y$47,$A32-GRAPH!E19),0)*GRAPH!E11+IFERROR(INDEX($Z$8:$Z$47,$A32-GRAPH!E20),0)*GRAPH!E12+SUMPRODUCT(($D$8:$D$31=REGIONS!$B$10)*($F$8:$F$31+$A$8:$A$31=$A32)*$E$8:$E$31)+SUMPRODUCT(($N$8:$N$31=REGIONS!$B$10)*($P$8:$P$31+$A$8:$A$31=$A32)*$O$8:$O$31)</f>
        <v>0.3462</v>
      </c>
      <c r="AE32" s="28" t="n">
        <f aca="false">CLIMATE!L32+IFERROR(INDEX($W$8:$W$47,$A32-GRAPH!F17),0)*GRAPH!F9+IFERROR(INDEX($X$8:$X$47,$A32-GRAPH!F18),0)*GRAPH!F10+IFERROR(INDEX($Y$8:$Y$47,$A32-GRAPH!F19),0)*GRAPH!F11+IFERROR(INDEX($Z$8:$Z$47,$A32-GRAPH!F20),0)*GRAPH!F12+SUMPRODUCT(($D$8:$D$31=REGIONS!$B$11)*($F$8:$F$31+$A$8:$A$31=$A32)*$E$8:$E$31)+SUMPRODUCT(($N$8:$N$31=REGIONS!$B$11)*($P$8:$P$31+$A$8:$A$31=$A32)*$O$8:$O$31)</f>
        <v>0.6977</v>
      </c>
      <c r="AF32" s="28" t="n">
        <f aca="false">CLIMATE!M32+IFERROR(INDEX($W$8:$W$47,$A32-GRAPH!G17),0)*GRAPH!G9+IFERROR(INDEX($X$8:$X$47,$A32-GRAPH!G18),0)*GRAPH!G10+IFERROR(INDEX($Y$8:$Y$47,$A32-GRAPH!G19),0)*GRAPH!G11+IFERROR(INDEX($Z$8:$Z$47,$A32-GRAPH!G20),0)*GRAPH!G12+SUMPRODUCT(($D$8:$D$31=REGIONS!$B$12)*($F$8:$F$31+$A$8:$A$31=$A32)*$E$8:$E$31)+SUMPRODUCT(($N$8:$N$31=REGIONS!$B$12)*($P$8:$P$31+$A$8:$A$31=$A32)*$O$8:$O$31)</f>
        <v>1.4443</v>
      </c>
      <c r="AG32" s="28" t="n">
        <f aca="false">CLIMATE!N32+IFERROR(INDEX($W$8:$W$47,$A32-GRAPH!H17),0)*GRAPH!H9+IFERROR(INDEX($X$8:$X$47,$A32-GRAPH!H18),0)*GRAPH!H10+IFERROR(INDEX($Y$8:$Y$47,$A32-GRAPH!H19),0)*GRAPH!H11+IFERROR(INDEX($Z$8:$Z$47,$A32-GRAPH!H20),0)*GRAPH!H12+SUMPRODUCT(($D$8:$D$31=REGIONS!$B$13)*($F$8:$F$31+$A$8:$A$31=$A32)*$E$8:$E$31)+SUMPRODUCT(($N$8:$N$31=REGIONS!$B$13)*($P$8:$P$31+$A$8:$A$31=$A32)*$O$8:$O$31)</f>
        <v>0.3403</v>
      </c>
      <c r="AH32" s="28" t="n">
        <f aca="false">CLIMATE!O32+IFERROR(INDEX($W$8:$W$47,$A32-GRAPH!I17),0)*GRAPH!I9+IFERROR(INDEX($X$8:$X$47,$A32-GRAPH!I18),0)*GRAPH!I10+IFERROR(INDEX($Y$8:$Y$47,$A32-GRAPH!I19),0)*GRAPH!I11+IFERROR(INDEX($Z$8:$Z$47,$A32-GRAPH!I20),0)*GRAPH!I12+SUMPRODUCT(($D$8:$D$31=REGIONS!$B$14)*($F$8:$F$31+$A$8:$A$31=$A32)*$E$8:$E$31)+SUMPRODUCT(($N$8:$N$31=REGIONS!$B$14)*($P$8:$P$31+$A$8:$A$31=$A32)*$O$8:$O$31)</f>
        <v>-1.0574</v>
      </c>
      <c r="AI32" s="28" t="n">
        <f aca="false">REGIONS!$F$7*(1+ASSUMPTIONS!$B$19*$A32)</f>
        <v>0.92</v>
      </c>
      <c r="AJ32" s="28" t="n">
        <f aca="false">REGIONS!$F$8*(1+ASSUMPTIONS!$B$19*$A32)</f>
        <v>1.035</v>
      </c>
      <c r="AK32" s="28" t="n">
        <f aca="false">REGIONS!$F$9*(1+ASSUMPTIONS!$B$19*$A32)</f>
        <v>1.035</v>
      </c>
      <c r="AL32" s="28" t="n">
        <f aca="false">REGIONS!$F$10*(1+ASSUMPTIONS!$B$19*$A32)</f>
        <v>0.805</v>
      </c>
      <c r="AM32" s="28" t="n">
        <f aca="false">REGIONS!$F$11*(1+ASSUMPTIONS!$B$19*$A32)</f>
        <v>0.805</v>
      </c>
      <c r="AN32" s="28" t="n">
        <f aca="false">REGIONS!$F$12*(1+ASSUMPTIONS!$B$19*$A32)</f>
        <v>1.265</v>
      </c>
      <c r="AO32" s="28" t="n">
        <f aca="false">REGIONS!$F$13*(1+ASSUMPTIONS!$B$19*$A32)</f>
        <v>1.38</v>
      </c>
      <c r="AP32" s="28" t="n">
        <f aca="false">REGIONS!$F$14*(1+ASSUMPTIONS!$B$19*$A32)</f>
        <v>1.38</v>
      </c>
      <c r="AQ32" s="11" t="n">
        <f aca="false">SUMPRODUCT(($D$8:$D$47=REGIONS!$B$7)*($A$8:$A$47&lt;=$A32)*$L$8:$L$47)+SUMPRODUCT(($N$8:$N$47=REGIONS!$B$7)*($A$8:$A$47&lt;=$A32)*$V$8:$V$47)</f>
        <v>0</v>
      </c>
      <c r="AR32" s="11" t="n">
        <f aca="false">SUMPRODUCT(($D$8:$D$47=REGIONS!$B$8)*($A$8:$A$47&lt;=$A32)*$L$8:$L$47)+SUMPRODUCT(($N$8:$N$47=REGIONS!$B$8)*($A$8:$A$47&lt;=$A32)*$V$8:$V$47)</f>
        <v>0</v>
      </c>
      <c r="AS32" s="11" t="n">
        <f aca="false">SUMPRODUCT(($D$8:$D$47=REGIONS!$B$9)*($A$8:$A$47&lt;=$A32)*$L$8:$L$47)+SUMPRODUCT(($N$8:$N$47=REGIONS!$B$9)*($A$8:$A$47&lt;=$A32)*$V$8:$V$47)</f>
        <v>0</v>
      </c>
      <c r="AT32" s="11" t="n">
        <f aca="false">SUMPRODUCT(($D$8:$D$47=REGIONS!$B$10)*($A$8:$A$47&lt;=$A32)*$L$8:$L$47)+SUMPRODUCT(($N$8:$N$47=REGIONS!$B$10)*($A$8:$A$47&lt;=$A32)*$V$8:$V$47)</f>
        <v>0</v>
      </c>
      <c r="AU32" s="11" t="n">
        <f aca="false">SUMPRODUCT(($D$8:$D$47=REGIONS!$B$11)*($A$8:$A$47&lt;=$A32)*$L$8:$L$47)+SUMPRODUCT(($N$8:$N$47=REGIONS!$B$11)*($A$8:$A$47&lt;=$A32)*$V$8:$V$47)</f>
        <v>0</v>
      </c>
      <c r="AV32" s="11" t="n">
        <f aca="false">SUMPRODUCT(($D$8:$D$47=REGIONS!$B$12)*($A$8:$A$47&lt;=$A32)*$L$8:$L$47)+SUMPRODUCT(($N$8:$N$47=REGIONS!$B$12)*($A$8:$A$47&lt;=$A32)*$V$8:$V$47)</f>
        <v>0</v>
      </c>
      <c r="AW32" s="11" t="n">
        <f aca="false">SUMPRODUCT(($D$8:$D$47=REGIONS!$B$13)*($A$8:$A$47&lt;=$A32)*$L$8:$L$47)+SUMPRODUCT(($N$8:$N$47=REGIONS!$B$13)*($A$8:$A$47&lt;=$A32)*$V$8:$V$47)</f>
        <v>0</v>
      </c>
      <c r="AX32" s="11" t="n">
        <f aca="false">SUMPRODUCT(($D$8:$D$47=REGIONS!$B$14)*($A$8:$A$47&lt;=$A32)*$L$8:$L$47)+SUMPRODUCT(($N$8:$N$47=REGIONS!$B$14)*($A$8:$A$47&lt;=$A32)*$V$8:$V$47)</f>
        <v>0</v>
      </c>
      <c r="AY32" s="12" t="n">
        <f aca="false">MAX(0,MIN(135,100-(MAX(0,-$AA32)*REGIONS!$E$7*ASSUMPTIONS!$B$7+MAX(0,$AA32-ASSUMPTIONS!$B$9)*REGIONS!$E$7*ASSUMPTIONS!$B$8)*(1-$AQ32/100)))</f>
        <v>95.9834</v>
      </c>
      <c r="AZ32" s="12" t="n">
        <f aca="false">MAX(0,MIN(135,100-(MAX(0,-$AB32)*REGIONS!$E$8*ASSUMPTIONS!$B$7+MAX(0,$AB32-ASSUMPTIONS!$B$9)*REGIONS!$E$8*ASSUMPTIONS!$B$8)*(1-$AR32/100)))</f>
        <v>100</v>
      </c>
      <c r="BA32" s="12" t="n">
        <f aca="false">MAX(0,MIN(135,100-(MAX(0,-$AC32)*REGIONS!$E$9*ASSUMPTIONS!$B$7+MAX(0,$AC32-ASSUMPTIONS!$B$9)*REGIONS!$E$9*ASSUMPTIONS!$B$8)*(1-$AS32/100)))</f>
        <v>88.331</v>
      </c>
      <c r="BB32" s="12" t="n">
        <f aca="false">MAX(0,MIN(135,100-(MAX(0,-$AD32)*REGIONS!$E$10*ASSUMPTIONS!$B$7+MAX(0,$AD32-ASSUMPTIONS!$B$9)*REGIONS!$E$10*ASSUMPTIONS!$B$8)*(1-$AT32/100)))</f>
        <v>100</v>
      </c>
      <c r="BC32" s="12" t="n">
        <f aca="false">MAX(0,MIN(135,100-(MAX(0,-$AE32)*REGIONS!$E$11*ASSUMPTIONS!$B$7+MAX(0,$AE32-ASSUMPTIONS!$B$9)*REGIONS!$E$11*ASSUMPTIONS!$B$8)*(1-$AU32/100)))</f>
        <v>100</v>
      </c>
      <c r="BD32" s="12" t="n">
        <f aca="false">MAX(0,MIN(135,100-(MAX(0,-$AF32)*REGIONS!$E$12*ASSUMPTIONS!$B$7+MAX(0,$AF32-ASSUMPTIONS!$B$9)*REGIONS!$E$12*ASSUMPTIONS!$B$8)*(1-$AV32/100)))</f>
        <v>97.45928</v>
      </c>
      <c r="BE32" s="12" t="n">
        <f aca="false">MAX(0,MIN(135,100-(MAX(0,-$AG32)*REGIONS!$E$13*ASSUMPTIONS!$B$7+MAX(0,$AG32-ASSUMPTIONS!$B$9)*REGIONS!$E$13*ASSUMPTIONS!$B$8)*(1-$AW32/100)))</f>
        <v>100</v>
      </c>
      <c r="BF32" s="12" t="n">
        <f aca="false">MAX(0,MIN(135,100-(MAX(0,-$AH32)*REGIONS!$E$14*ASSUMPTIONS!$B$7+MAX(0,$AH32-ASSUMPTIONS!$B$9)*REGIONS!$E$14*ASSUMPTIONS!$B$8)*(1-$AX32/100)))</f>
        <v>79.27496</v>
      </c>
      <c r="BG32" s="12" t="n">
        <f aca="false">$AY32*REGIONS!$D$7/100+$AZ32*REGIONS!$D$8/100+$BA32*REGIONS!$D$9/100+$BB32*REGIONS!$D$10/100+$BC32*REGIONS!$D$11/100+$BD32*REGIONS!$D$12/100+$BE32*REGIONS!$D$13/100+$BF32*REGIONS!$D$14/100</f>
        <v>96.0249772</v>
      </c>
      <c r="BH32" s="12" t="n">
        <f aca="false">100*(100/MAX(1,$BG32))^ASSUMPTIONS!$B$10</f>
        <v>107.574272345066</v>
      </c>
      <c r="BI32" s="12" t="n">
        <f aca="false">$AY32*$BH32/100*ASSUMPTIONS!$B$11</f>
        <v>87.765427503746</v>
      </c>
      <c r="BJ32" s="28" t="n">
        <f aca="false">MAX(0,ABS($AA32)-$AI32*ASSUMPTIONS!$B$24)*REGIONS!$D$7/100+MAX(0,ABS($AB32)-$AJ32*ASSUMPTIONS!$B$24)*REGIONS!$D$8/100+MAX(0,ABS($AC32)-$AK32*ASSUMPTIONS!$B$24)*REGIONS!$D$9/100+MAX(0,ABS($AD32)-$AL32*ASSUMPTIONS!$B$24)*REGIONS!$D$10/100+MAX(0,ABS($AE32)-$AM32*ASSUMPTIONS!$B$24)*REGIONS!$D$11/100+MAX(0,ABS($AF32)-$AN32*ASSUMPTIONS!$B$24)*REGIONS!$D$12/100+MAX(0,ABS($AG32)-$AO32*ASSUMPTIONS!$B$24)*REGIONS!$D$13/100+MAX(0,ABS($AH32)-$AP32*ASSUMPTIONS!$B$24)*REGIONS!$D$14/100</f>
        <v>0.0558940000000001</v>
      </c>
      <c r="BK32" s="12" t="n">
        <f aca="false">MIN(ASSUMPTIONS!$B$14,ASSUMPTIONS!$B$12+$BJ32*ASSUMPTIONS!$B$13)</f>
        <v>30.347548</v>
      </c>
      <c r="BL32" s="11" t="n">
        <f aca="false">$H32+$R32</f>
        <v>0</v>
      </c>
      <c r="BM32" s="11" t="n">
        <f aca="false">PLAY!$H32</f>
        <v>0</v>
      </c>
      <c r="BN32" s="12" t="n">
        <f aca="false">$BI32*ASSUMPTIONS!$B$15+$BK32*ASSUMPTIONS!$B$16</f>
        <v>37.8446445004495</v>
      </c>
      <c r="BO32" s="12" t="n">
        <f aca="false">$BO31+$BN32-$BL32-$BM32-ASSUMPTIONS!$B$23</f>
        <v>234.860580096449</v>
      </c>
      <c r="BP32" s="12" t="n">
        <f aca="false">(SUMPRODUCT(($F$8:$F$31+$A$8:$A$31=$A32)*($C$8:$C$31&lt;&gt;"NONE")*$G$8:$G$31)+SUMPRODUCT(($P$8:$P$31+$A$8:$A$31=$A32)*($M$8:$M$31&lt;&gt;"NONE")*$Q$8:$Q$31))*(1+ASSUMPTIONS!$B$22*(MAX(0,ABS($AA32)/$AI32-1)+MAX(0,ABS($AB32)/$AJ32-1)+MAX(0,ABS($AC32)/$AK32-1)+MAX(0,ABS($AD32)/$AL32-1)+MAX(0,ABS($AE32)/$AM32-1)+MAX(0,ABS($AF32)/$AN32-1)+MAX(0,ABS($AG32)/$AO32-1)+MAX(0,ABS($AH32)/$AP32-1))/8)</f>
        <v>0</v>
      </c>
      <c r="BQ32" s="12" t="n">
        <f aca="false">MAX(0,$BQ31*(1-ASSUMPTIONS!$B$18)+$BP32-$BM32*ASSUMPTIONS!$B$17)</f>
        <v>0.825920410828364</v>
      </c>
    </row>
    <row r="33" customFormat="false" ht="15" hidden="false" customHeight="false" outlineLevel="0" collapsed="false">
      <c r="A33" s="13" t="n">
        <v>26</v>
      </c>
      <c r="B33" s="11" t="n">
        <f aca="false">CLIMATE!B33</f>
        <v>1952</v>
      </c>
      <c r="C33" s="13" t="str">
        <f aca="false">IFERROR(INDEX(CAPABILITIES!$B$7:$B$15,MATCH(PLAY!$D33,CAPABILITIES!$A$7:$A$15,0)),"NONE")</f>
        <v>NONE</v>
      </c>
      <c r="D33" s="13" t="n">
        <f aca="false">IFERROR(IF(INDEX(CAPABILITIES!$B$7:$B$15,MATCH(PLAY!$D33,CAPABILITIES!$A$7:$A$15,0))="DRIVER",INDEX(CAPABILITIES!$C$7:$C$15,MATCH(PLAY!$D33,CAPABILITIES!$A$7:$A$15,0)),PLAY!$E33),"")</f>
        <v>0</v>
      </c>
      <c r="E33" s="13" t="n">
        <f aca="false">IFERROR(INDEX(CAPABILITIES!$D$7:$D$15,MATCH(PLAY!$D33,CAPABILITIES!$A$7:$A$15,0))*IF(INDEX(CAPABILITIES!$K$7:$K$15,MATCH(PLAY!$D33,CAPABILITIES!$A$7:$A$15,0))="Y",IF(IFERROR(INDEX($AA32:$AH32,MATCH(PLAY!$E33,REGIONS!$B$7:$B$14,0)),0)&lt;ASSUMPTIONS!$B$20,1,ASSUMPTIONS!$B$21),1),0)</f>
        <v>0</v>
      </c>
      <c r="F33" s="13" t="n">
        <f aca="false">IFERROR(INDEX(CAPABILITIES!$E$7:$E$15,MATCH(PLAY!$D33,CAPABILITIES!$A$7:$A$15,0)),0)</f>
        <v>0</v>
      </c>
      <c r="G33" s="13" t="n">
        <f aca="false">IFERROR(INDEX(CAPABILITIES!$F$7:$F$15,MATCH(PLAY!$D33,CAPABILITIES!$A$7:$A$15,0)),0)</f>
        <v>0</v>
      </c>
      <c r="H33" s="13" t="n">
        <f aca="false">IFERROR(INDEX(CAPABILITIES!$G$7:$G$15,MATCH(PLAY!$D33,CAPABILITIES!$A$7:$A$15,0)),0)</f>
        <v>0</v>
      </c>
      <c r="I33" s="13" t="n">
        <f aca="false">IFERROR(INDEX(CAPABILITIES!$H$7:$H$15,MATCH(PLAY!$D33,CAPABILITIES!$A$7:$A$15,0)),"")</f>
        <v>0</v>
      </c>
      <c r="J33" s="13" t="n">
        <f aca="false">IFERROR(INDEX(CAPABILITIES!$D$7:$D$15,MATCH(PLAY!$D33,CAPABILITIES!$A$7:$A$15,0))*INDEX(CAPABILITIES!$I$7:$I$15,MATCH(PLAY!$D33,CAPABILITIES!$A$7:$A$15,0)),0)</f>
        <v>0</v>
      </c>
      <c r="K33" s="13" t="n">
        <f aca="false">IFERROR(INDEX(CAPABILITIES!$E$7:$E$15,MATCH(PLAY!$D33,CAPABILITIES!$A$7:$A$15,0))+INDEX(CAPABILITIES!$J$7:$J$15,MATCH(PLAY!$D33,CAPABILITIES!$A$7:$A$15,0)),0)</f>
        <v>0</v>
      </c>
      <c r="L33" s="13" t="n">
        <f aca="false">IFERROR(INDEX(CAPABILITIES!$L$7:$L$15,MATCH(PLAY!$D33,CAPABILITIES!$A$7:$A$15,0)),0)</f>
        <v>0</v>
      </c>
      <c r="M33" s="13" t="str">
        <f aca="false">IFERROR(INDEX(CAPABILITIES!$B$7:$B$15,MATCH(PLAY!$F33,CAPABILITIES!$A$7:$A$15,0)),"NONE")</f>
        <v>NONE</v>
      </c>
      <c r="N33" s="13" t="n">
        <f aca="false">IFERROR(IF(INDEX(CAPABILITIES!$B$7:$B$15,MATCH(PLAY!$F33,CAPABILITIES!$A$7:$A$15,0))="DRIVER",INDEX(CAPABILITIES!$C$7:$C$15,MATCH(PLAY!$F33,CAPABILITIES!$A$7:$A$15,0)),PLAY!$G33),"")</f>
        <v>0</v>
      </c>
      <c r="O33" s="13" t="n">
        <f aca="false">IFERROR(INDEX(CAPABILITIES!$D$7:$D$15,MATCH(PLAY!$F33,CAPABILITIES!$A$7:$A$15,0))*IF(INDEX(CAPABILITIES!$K$7:$K$15,MATCH(PLAY!$F33,CAPABILITIES!$A$7:$A$15,0))="Y",IF(IFERROR(INDEX($AA32:$AH32,MATCH(PLAY!$G33,REGIONS!$B$7:$B$14,0)),0)&lt;ASSUMPTIONS!$B$20,1,ASSUMPTIONS!$B$21),1),0)</f>
        <v>0</v>
      </c>
      <c r="P33" s="13" t="n">
        <f aca="false">IFERROR(INDEX(CAPABILITIES!$E$7:$E$15,MATCH(PLAY!$F33,CAPABILITIES!$A$7:$A$15,0)),0)</f>
        <v>0</v>
      </c>
      <c r="Q33" s="13" t="n">
        <f aca="false">IFERROR(INDEX(CAPABILITIES!$F$7:$F$15,MATCH(PLAY!$F33,CAPABILITIES!$A$7:$A$15,0)),0)</f>
        <v>0</v>
      </c>
      <c r="R33" s="13" t="n">
        <f aca="false">IFERROR(INDEX(CAPABILITIES!$G$7:$G$15,MATCH(PLAY!$F33,CAPABILITIES!$A$7:$A$15,0)),0)</f>
        <v>0</v>
      </c>
      <c r="S33" s="13" t="n">
        <f aca="false">IFERROR(INDEX(CAPABILITIES!$H$7:$H$15,MATCH(PLAY!$F33,CAPABILITIES!$A$7:$A$15,0)),"")</f>
        <v>0</v>
      </c>
      <c r="T33" s="13" t="n">
        <f aca="false">IFERROR(INDEX(CAPABILITIES!$D$7:$D$15,MATCH(PLAY!$F33,CAPABILITIES!$A$7:$A$15,0))*INDEX(CAPABILITIES!$I$7:$I$15,MATCH(PLAY!$F33,CAPABILITIES!$A$7:$A$15,0)),0)</f>
        <v>0</v>
      </c>
      <c r="U33" s="13" t="n">
        <f aca="false">IFERROR(INDEX(CAPABILITIES!$E$7:$E$15,MATCH(PLAY!$F33,CAPABILITIES!$A$7:$A$15,0))+INDEX(CAPABILITIES!$J$7:$J$15,MATCH(PLAY!$F33,CAPABILITIES!$A$7:$A$15,0)),0)</f>
        <v>0</v>
      </c>
      <c r="V33" s="13" t="n">
        <f aca="false">IFERROR(INDEX(CAPABILITIES!$L$7:$L$15,MATCH(PLAY!$F33,CAPABILITIES!$A$7:$A$15,0)),0)</f>
        <v>0</v>
      </c>
      <c r="W33" s="28" t="n">
        <f aca="false">CLIMATE!D33+SUMPRODUCT(($D$8:$D$32="ENSO")*($F$8:$F$32+$A$8:$A$32=$A33)*$E$8:$E$32)+SUMPRODUCT(($I$8:$I$32="ENSO")*($K$8:$K$32+$A$8:$A$32=$A33)*$J$8:$J$32)+SUMPRODUCT(($N$8:$N$32="ENSO")*($P$8:$P$32+$A$8:$A$32=$A33)*$O$8:$O$32)+SUMPRODUCT(($S$8:$S$32="ENSO")*($U$8:$U$32+$A$8:$A$32=$A33)*$T$8:$T$32)</f>
        <v>-0.054</v>
      </c>
      <c r="X33" s="28" t="n">
        <f aca="false">CLIMATE!E33+SUMPRODUCT(($D$8:$D$32="IOD")*($F$8:$F$32+$A$8:$A$32=$A33)*$E$8:$E$32)+SUMPRODUCT(($I$8:$I$32="IOD")*($K$8:$K$32+$A$8:$A$32=$A33)*$J$8:$J$32)+SUMPRODUCT(($N$8:$N$32="IOD")*($P$8:$P$32+$A$8:$A$32=$A33)*$O$8:$O$32)+SUMPRODUCT(($S$8:$S$32="IOD")*($U$8:$U$32+$A$8:$A$32=$A33)*$T$8:$T$32)</f>
        <v>0.992</v>
      </c>
      <c r="Y33" s="28" t="n">
        <f aca="false">CLIMATE!F33+SUMPRODUCT(($D$8:$D$32="NATL")*($F$8:$F$32+$A$8:$A$32=$A33)*$E$8:$E$32)+SUMPRODUCT(($I$8:$I$32="NATL")*($K$8:$K$32+$A$8:$A$32=$A33)*$J$8:$J$32)+SUMPRODUCT(($N$8:$N$32="NATL")*($P$8:$P$32+$A$8:$A$32=$A33)*$O$8:$O$32)+SUMPRODUCT(($S$8:$S$32="NATL")*($U$8:$U$32+$A$8:$A$32=$A33)*$T$8:$T$32)</f>
        <v>-0.329</v>
      </c>
      <c r="Z33" s="28" t="n">
        <f aca="false">CLIMATE!G33+SUMPRODUCT(($D$8:$D$32="GLOBAL")*($F$8:$F$32+$A$8:$A$32=$A33)*$E$8:$E$32)+SUMPRODUCT(($I$8:$I$32="GLOBAL")*($K$8:$K$32+$A$8:$A$32=$A33)*$J$8:$J$32)+SUMPRODUCT(($N$8:$N$32="GLOBAL")*($P$8:$P$32+$A$8:$A$32=$A33)*$O$8:$O$32)+SUMPRODUCT(($S$8:$S$32="GLOBAL")*($U$8:$U$32+$A$8:$A$32=$A33)*$T$8:$T$32)</f>
        <v>0</v>
      </c>
      <c r="AA33" s="28" t="n">
        <f aca="false">CLIMATE!H33+IFERROR(INDEX($W$8:$W$47,$A33-GRAPH!B17),0)*GRAPH!B9+IFERROR(INDEX($X$8:$X$47,$A33-GRAPH!B18),0)*GRAPH!B10+IFERROR(INDEX($Y$8:$Y$47,$A33-GRAPH!B19),0)*GRAPH!B11+IFERROR(INDEX($Z$8:$Z$47,$A33-GRAPH!B20),0)*GRAPH!B12+SUMPRODUCT(($D$8:$D$32=REGIONS!$B$7)*($F$8:$F$32+$A$8:$A$32=$A33)*$E$8:$E$32)+SUMPRODUCT(($N$8:$N$32=REGIONS!$B$7)*($P$8:$P$32+$A$8:$A$32=$A33)*$O$8:$O$32)</f>
        <v>-0.1384</v>
      </c>
      <c r="AB33" s="28" t="n">
        <f aca="false">CLIMATE!I33+IFERROR(INDEX($W$8:$W$47,$A33-GRAPH!C17),0)*GRAPH!C9+IFERROR(INDEX($X$8:$X$47,$A33-GRAPH!C18),0)*GRAPH!C10+IFERROR(INDEX($Y$8:$Y$47,$A33-GRAPH!C19),0)*GRAPH!C11+IFERROR(INDEX($Z$8:$Z$47,$A33-GRAPH!C20),0)*GRAPH!C12+SUMPRODUCT(($D$8:$D$32=REGIONS!$B$8)*($F$8:$F$32+$A$8:$A$32=$A33)*$E$8:$E$32)+SUMPRODUCT(($N$8:$N$32=REGIONS!$B$8)*($P$8:$P$32+$A$8:$A$32=$A33)*$O$8:$O$32)</f>
        <v>0.5613</v>
      </c>
      <c r="AC33" s="28" t="n">
        <f aca="false">CLIMATE!J33+IFERROR(INDEX($W$8:$W$47,$A33-GRAPH!D17),0)*GRAPH!D9+IFERROR(INDEX($X$8:$X$47,$A33-GRAPH!D18),0)*GRAPH!D10+IFERROR(INDEX($Y$8:$Y$47,$A33-GRAPH!D19),0)*GRAPH!D11+IFERROR(INDEX($Z$8:$Z$47,$A33-GRAPH!D20),0)*GRAPH!D12+SUMPRODUCT(($D$8:$D$32=REGIONS!$B$9)*($F$8:$F$32+$A$8:$A$32=$A33)*$E$8:$E$32)+SUMPRODUCT(($N$8:$N$32=REGIONS!$B$9)*($P$8:$P$32+$A$8:$A$32=$A33)*$O$8:$O$32)</f>
        <v>-0.5075</v>
      </c>
      <c r="AD33" s="28" t="n">
        <f aca="false">CLIMATE!K33+IFERROR(INDEX($W$8:$W$47,$A33-GRAPH!E17),0)*GRAPH!E9+IFERROR(INDEX($X$8:$X$47,$A33-GRAPH!E18),0)*GRAPH!E10+IFERROR(INDEX($Y$8:$Y$47,$A33-GRAPH!E19),0)*GRAPH!E11+IFERROR(INDEX($Z$8:$Z$47,$A33-GRAPH!E20),0)*GRAPH!E12+SUMPRODUCT(($D$8:$D$32=REGIONS!$B$10)*($F$8:$F$32+$A$8:$A$32=$A33)*$E$8:$E$32)+SUMPRODUCT(($N$8:$N$32=REGIONS!$B$10)*($P$8:$P$32+$A$8:$A$32=$A33)*$O$8:$O$32)</f>
        <v>0.4489</v>
      </c>
      <c r="AE33" s="28" t="n">
        <f aca="false">CLIMATE!L33+IFERROR(INDEX($W$8:$W$47,$A33-GRAPH!F17),0)*GRAPH!F9+IFERROR(INDEX($X$8:$X$47,$A33-GRAPH!F18),0)*GRAPH!F10+IFERROR(INDEX($Y$8:$Y$47,$A33-GRAPH!F19),0)*GRAPH!F11+IFERROR(INDEX($Z$8:$Z$47,$A33-GRAPH!F20),0)*GRAPH!F12+SUMPRODUCT(($D$8:$D$32=REGIONS!$B$11)*($F$8:$F$32+$A$8:$A$32=$A33)*$E$8:$E$32)+SUMPRODUCT(($N$8:$N$32=REGIONS!$B$11)*($P$8:$P$32+$A$8:$A$32=$A33)*$O$8:$O$32)</f>
        <v>0.3705</v>
      </c>
      <c r="AF33" s="28" t="n">
        <f aca="false">CLIMATE!M33+IFERROR(INDEX($W$8:$W$47,$A33-GRAPH!G17),0)*GRAPH!G9+IFERROR(INDEX($X$8:$X$47,$A33-GRAPH!G18),0)*GRAPH!G10+IFERROR(INDEX($Y$8:$Y$47,$A33-GRAPH!G19),0)*GRAPH!G11+IFERROR(INDEX($Z$8:$Z$47,$A33-GRAPH!G20),0)*GRAPH!G12+SUMPRODUCT(($D$8:$D$32=REGIONS!$B$12)*($F$8:$F$32+$A$8:$A$32=$A33)*$E$8:$E$32)+SUMPRODUCT(($N$8:$N$32=REGIONS!$B$12)*($P$8:$P$32+$A$8:$A$32=$A33)*$O$8:$O$32)</f>
        <v>0.4235</v>
      </c>
      <c r="AG33" s="28" t="n">
        <f aca="false">CLIMATE!N33+IFERROR(INDEX($W$8:$W$47,$A33-GRAPH!H17),0)*GRAPH!H9+IFERROR(INDEX($X$8:$X$47,$A33-GRAPH!H18),0)*GRAPH!H10+IFERROR(INDEX($Y$8:$Y$47,$A33-GRAPH!H19),0)*GRAPH!H11+IFERROR(INDEX($Z$8:$Z$47,$A33-GRAPH!H20),0)*GRAPH!H12+SUMPRODUCT(($D$8:$D$32=REGIONS!$B$13)*($F$8:$F$32+$A$8:$A$32=$A33)*$E$8:$E$32)+SUMPRODUCT(($N$8:$N$32=REGIONS!$B$13)*($P$8:$P$32+$A$8:$A$32=$A33)*$O$8:$O$32)</f>
        <v>0.3764</v>
      </c>
      <c r="AH33" s="28" t="n">
        <f aca="false">CLIMATE!O33+IFERROR(INDEX($W$8:$W$47,$A33-GRAPH!I17),0)*GRAPH!I9+IFERROR(INDEX($X$8:$X$47,$A33-GRAPH!I18),0)*GRAPH!I10+IFERROR(INDEX($Y$8:$Y$47,$A33-GRAPH!I19),0)*GRAPH!I11+IFERROR(INDEX($Z$8:$Z$47,$A33-GRAPH!I20),0)*GRAPH!I12+SUMPRODUCT(($D$8:$D$32=REGIONS!$B$14)*($F$8:$F$32+$A$8:$A$32=$A33)*$E$8:$E$32)+SUMPRODUCT(($N$8:$N$32=REGIONS!$B$14)*($P$8:$P$32+$A$8:$A$32=$A33)*$O$8:$O$32)</f>
        <v>0.0454</v>
      </c>
      <c r="AI33" s="28" t="n">
        <f aca="false">REGIONS!$F$7*(1+ASSUMPTIONS!$B$19*$A33)</f>
        <v>0.9248</v>
      </c>
      <c r="AJ33" s="28" t="n">
        <f aca="false">REGIONS!$F$8*(1+ASSUMPTIONS!$B$19*$A33)</f>
        <v>1.0404</v>
      </c>
      <c r="AK33" s="28" t="n">
        <f aca="false">REGIONS!$F$9*(1+ASSUMPTIONS!$B$19*$A33)</f>
        <v>1.0404</v>
      </c>
      <c r="AL33" s="28" t="n">
        <f aca="false">REGIONS!$F$10*(1+ASSUMPTIONS!$B$19*$A33)</f>
        <v>0.8092</v>
      </c>
      <c r="AM33" s="28" t="n">
        <f aca="false">REGIONS!$F$11*(1+ASSUMPTIONS!$B$19*$A33)</f>
        <v>0.8092</v>
      </c>
      <c r="AN33" s="28" t="n">
        <f aca="false">REGIONS!$F$12*(1+ASSUMPTIONS!$B$19*$A33)</f>
        <v>1.2716</v>
      </c>
      <c r="AO33" s="28" t="n">
        <f aca="false">REGIONS!$F$13*(1+ASSUMPTIONS!$B$19*$A33)</f>
        <v>1.3872</v>
      </c>
      <c r="AP33" s="28" t="n">
        <f aca="false">REGIONS!$F$14*(1+ASSUMPTIONS!$B$19*$A33)</f>
        <v>1.3872</v>
      </c>
      <c r="AQ33" s="11" t="n">
        <f aca="false">SUMPRODUCT(($D$8:$D$47=REGIONS!$B$7)*($A$8:$A$47&lt;=$A33)*$L$8:$L$47)+SUMPRODUCT(($N$8:$N$47=REGIONS!$B$7)*($A$8:$A$47&lt;=$A33)*$V$8:$V$47)</f>
        <v>0</v>
      </c>
      <c r="AR33" s="11" t="n">
        <f aca="false">SUMPRODUCT(($D$8:$D$47=REGIONS!$B$8)*($A$8:$A$47&lt;=$A33)*$L$8:$L$47)+SUMPRODUCT(($N$8:$N$47=REGIONS!$B$8)*($A$8:$A$47&lt;=$A33)*$V$8:$V$47)</f>
        <v>0</v>
      </c>
      <c r="AS33" s="11" t="n">
        <f aca="false">SUMPRODUCT(($D$8:$D$47=REGIONS!$B$9)*($A$8:$A$47&lt;=$A33)*$L$8:$L$47)+SUMPRODUCT(($N$8:$N$47=REGIONS!$B$9)*($A$8:$A$47&lt;=$A33)*$V$8:$V$47)</f>
        <v>0</v>
      </c>
      <c r="AT33" s="11" t="n">
        <f aca="false">SUMPRODUCT(($D$8:$D$47=REGIONS!$B$10)*($A$8:$A$47&lt;=$A33)*$L$8:$L$47)+SUMPRODUCT(($N$8:$N$47=REGIONS!$B$10)*($A$8:$A$47&lt;=$A33)*$V$8:$V$47)</f>
        <v>0</v>
      </c>
      <c r="AU33" s="11" t="n">
        <f aca="false">SUMPRODUCT(($D$8:$D$47=REGIONS!$B$11)*($A$8:$A$47&lt;=$A33)*$L$8:$L$47)+SUMPRODUCT(($N$8:$N$47=REGIONS!$B$11)*($A$8:$A$47&lt;=$A33)*$V$8:$V$47)</f>
        <v>0</v>
      </c>
      <c r="AV33" s="11" t="n">
        <f aca="false">SUMPRODUCT(($D$8:$D$47=REGIONS!$B$12)*($A$8:$A$47&lt;=$A33)*$L$8:$L$47)+SUMPRODUCT(($N$8:$N$47=REGIONS!$B$12)*($A$8:$A$47&lt;=$A33)*$V$8:$V$47)</f>
        <v>0</v>
      </c>
      <c r="AW33" s="11" t="n">
        <f aca="false">SUMPRODUCT(($D$8:$D$47=REGIONS!$B$13)*($A$8:$A$47&lt;=$A33)*$L$8:$L$47)+SUMPRODUCT(($N$8:$N$47=REGIONS!$B$13)*($A$8:$A$47&lt;=$A33)*$V$8:$V$47)</f>
        <v>0</v>
      </c>
      <c r="AX33" s="11" t="n">
        <f aca="false">SUMPRODUCT(($D$8:$D$47=REGIONS!$B$14)*($A$8:$A$47&lt;=$A33)*$L$8:$L$47)+SUMPRODUCT(($N$8:$N$47=REGIONS!$B$14)*($A$8:$A$47&lt;=$A33)*$V$8:$V$47)</f>
        <v>0</v>
      </c>
      <c r="AY33" s="12" t="n">
        <f aca="false">MAX(0,MIN(135,100-(MAX(0,-$AA33)*REGIONS!$E$7*ASSUMPTIONS!$B$7+MAX(0,$AA33-ASSUMPTIONS!$B$9)*REGIONS!$E$7*ASSUMPTIONS!$B$8)*(1-$AQ33/100)))</f>
        <v>98.0624</v>
      </c>
      <c r="AZ33" s="12" t="n">
        <f aca="false">MAX(0,MIN(135,100-(MAX(0,-$AB33)*REGIONS!$E$8*ASSUMPTIONS!$B$7+MAX(0,$AB33-ASSUMPTIONS!$B$9)*REGIONS!$E$8*ASSUMPTIONS!$B$8)*(1-$AR33/100)))</f>
        <v>100</v>
      </c>
      <c r="BA33" s="12" t="n">
        <f aca="false">MAX(0,MIN(135,100-(MAX(0,-$AC33)*REGIONS!$E$9*ASSUMPTIONS!$B$7+MAX(0,$AC33-ASSUMPTIONS!$B$9)*REGIONS!$E$9*ASSUMPTIONS!$B$8)*(1-$AS33/100)))</f>
        <v>92.895</v>
      </c>
      <c r="BB33" s="12" t="n">
        <f aca="false">MAX(0,MIN(135,100-(MAX(0,-$AD33)*REGIONS!$E$10*ASSUMPTIONS!$B$7+MAX(0,$AD33-ASSUMPTIONS!$B$9)*REGIONS!$E$10*ASSUMPTIONS!$B$8)*(1-$AT33/100)))</f>
        <v>100</v>
      </c>
      <c r="BC33" s="12" t="n">
        <f aca="false">MAX(0,MIN(135,100-(MAX(0,-$AE33)*REGIONS!$E$11*ASSUMPTIONS!$B$7+MAX(0,$AE33-ASSUMPTIONS!$B$9)*REGIONS!$E$11*ASSUMPTIONS!$B$8)*(1-$AU33/100)))</f>
        <v>100</v>
      </c>
      <c r="BD33" s="12" t="n">
        <f aca="false">MAX(0,MIN(135,100-(MAX(0,-$AF33)*REGIONS!$E$12*ASSUMPTIONS!$B$7+MAX(0,$AF33-ASSUMPTIONS!$B$9)*REGIONS!$E$12*ASSUMPTIONS!$B$8)*(1-$AV33/100)))</f>
        <v>100</v>
      </c>
      <c r="BE33" s="12" t="n">
        <f aca="false">MAX(0,MIN(135,100-(MAX(0,-$AG33)*REGIONS!$E$13*ASSUMPTIONS!$B$7+MAX(0,$AG33-ASSUMPTIONS!$B$9)*REGIONS!$E$13*ASSUMPTIONS!$B$8)*(1-$AW33/100)))</f>
        <v>100</v>
      </c>
      <c r="BF33" s="12" t="n">
        <f aca="false">MAX(0,MIN(135,100-(MAX(0,-$AH33)*REGIONS!$E$14*ASSUMPTIONS!$B$7+MAX(0,$AH33-ASSUMPTIONS!$B$9)*REGIONS!$E$14*ASSUMPTIONS!$B$8)*(1-$AX33/100)))</f>
        <v>100</v>
      </c>
      <c r="BG33" s="12" t="n">
        <f aca="false">$AY33*REGIONS!$D$7/100+$AZ33*REGIONS!$D$8/100+$BA33*REGIONS!$D$9/100+$BB33*REGIONS!$D$10/100+$BC33*REGIONS!$D$11/100+$BD33*REGIONS!$D$12/100+$BE33*REGIONS!$D$13/100+$BF33*REGIONS!$D$14/100</f>
        <v>98.54673</v>
      </c>
      <c r="BH33" s="12" t="n">
        <f aca="false">100*(100/MAX(1,$BG33))^ASSUMPTIONS!$B$10</f>
        <v>102.670105339102</v>
      </c>
      <c r="BI33" s="12" t="n">
        <f aca="false">$AY33*$BH33/100*ASSUMPTIONS!$B$11</f>
        <v>85.5786539713439</v>
      </c>
      <c r="BJ33" s="28" t="n">
        <f aca="false">MAX(0,ABS($AA33)-$AI33*ASSUMPTIONS!$B$24)*REGIONS!$D$7/100+MAX(0,ABS($AB33)-$AJ33*ASSUMPTIONS!$B$24)*REGIONS!$D$8/100+MAX(0,ABS($AC33)-$AK33*ASSUMPTIONS!$B$24)*REGIONS!$D$9/100+MAX(0,ABS($AD33)-$AL33*ASSUMPTIONS!$B$24)*REGIONS!$D$10/100+MAX(0,ABS($AE33)-$AM33*ASSUMPTIONS!$B$24)*REGIONS!$D$11/100+MAX(0,ABS($AF33)-$AN33*ASSUMPTIONS!$B$24)*REGIONS!$D$12/100+MAX(0,ABS($AG33)-$AO33*ASSUMPTIONS!$B$24)*REGIONS!$D$13/100+MAX(0,ABS($AH33)-$AP33*ASSUMPTIONS!$B$24)*REGIONS!$D$14/100</f>
        <v>0</v>
      </c>
      <c r="BK33" s="12" t="n">
        <f aca="false">MIN(ASSUMPTIONS!$B$14,ASSUMPTIONS!$B$12+$BJ33*ASSUMPTIONS!$B$13)</f>
        <v>28</v>
      </c>
      <c r="BL33" s="11" t="n">
        <f aca="false">$H33+$R33</f>
        <v>0</v>
      </c>
      <c r="BM33" s="11" t="n">
        <f aca="false">PLAY!$H33</f>
        <v>0</v>
      </c>
      <c r="BN33" s="12" t="n">
        <f aca="false">$BI33*ASSUMPTIONS!$B$15+$BK33*ASSUMPTIONS!$B$16</f>
        <v>35.4694384765613</v>
      </c>
      <c r="BO33" s="12" t="n">
        <f aca="false">$BO32+$BN33-$BL33-$BM33-ASSUMPTIONS!$B$23</f>
        <v>238.33001857301</v>
      </c>
      <c r="BP33" s="12" t="n">
        <f aca="false">(SUMPRODUCT(($F$8:$F$32+$A$8:$A$32=$A33)*($C$8:$C$32&lt;&gt;"NONE")*$G$8:$G$32)+SUMPRODUCT(($P$8:$P$32+$A$8:$A$32=$A33)*($M$8:$M$32&lt;&gt;"NONE")*$Q$8:$Q$32))*(1+ASSUMPTIONS!$B$22*(MAX(0,ABS($AA33)/$AI33-1)+MAX(0,ABS($AB33)/$AJ33-1)+MAX(0,ABS($AC33)/$AK33-1)+MAX(0,ABS($AD33)/$AL33-1)+MAX(0,ABS($AE33)/$AM33-1)+MAX(0,ABS($AF33)/$AN33-1)+MAX(0,ABS($AG33)/$AO33-1)+MAX(0,ABS($AH33)/$AP33-1))/8)</f>
        <v>0</v>
      </c>
      <c r="BQ33" s="12" t="n">
        <f aca="false">MAX(0,$BQ32*(1-ASSUMPTIONS!$B$18)+$BP33-$BM33*ASSUMPTIONS!$B$17)</f>
        <v>0.792883594395229</v>
      </c>
    </row>
    <row r="34" customFormat="false" ht="15" hidden="false" customHeight="false" outlineLevel="0" collapsed="false">
      <c r="A34" s="13" t="n">
        <v>27</v>
      </c>
      <c r="B34" s="11" t="n">
        <f aca="false">CLIMATE!B34</f>
        <v>1952</v>
      </c>
      <c r="C34" s="13" t="str">
        <f aca="false">IFERROR(INDEX(CAPABILITIES!$B$7:$B$15,MATCH(PLAY!$D34,CAPABILITIES!$A$7:$A$15,0)),"NONE")</f>
        <v>NONE</v>
      </c>
      <c r="D34" s="13" t="n">
        <f aca="false">IFERROR(IF(INDEX(CAPABILITIES!$B$7:$B$15,MATCH(PLAY!$D34,CAPABILITIES!$A$7:$A$15,0))="DRIVER",INDEX(CAPABILITIES!$C$7:$C$15,MATCH(PLAY!$D34,CAPABILITIES!$A$7:$A$15,0)),PLAY!$E34),"")</f>
        <v>0</v>
      </c>
      <c r="E34" s="13" t="n">
        <f aca="false">IFERROR(INDEX(CAPABILITIES!$D$7:$D$15,MATCH(PLAY!$D34,CAPABILITIES!$A$7:$A$15,0))*IF(INDEX(CAPABILITIES!$K$7:$K$15,MATCH(PLAY!$D34,CAPABILITIES!$A$7:$A$15,0))="Y",IF(IFERROR(INDEX($AA33:$AH33,MATCH(PLAY!$E34,REGIONS!$B$7:$B$14,0)),0)&lt;ASSUMPTIONS!$B$20,1,ASSUMPTIONS!$B$21),1),0)</f>
        <v>0</v>
      </c>
      <c r="F34" s="13" t="n">
        <f aca="false">IFERROR(INDEX(CAPABILITIES!$E$7:$E$15,MATCH(PLAY!$D34,CAPABILITIES!$A$7:$A$15,0)),0)</f>
        <v>0</v>
      </c>
      <c r="G34" s="13" t="n">
        <f aca="false">IFERROR(INDEX(CAPABILITIES!$F$7:$F$15,MATCH(PLAY!$D34,CAPABILITIES!$A$7:$A$15,0)),0)</f>
        <v>0</v>
      </c>
      <c r="H34" s="13" t="n">
        <f aca="false">IFERROR(INDEX(CAPABILITIES!$G$7:$G$15,MATCH(PLAY!$D34,CAPABILITIES!$A$7:$A$15,0)),0)</f>
        <v>0</v>
      </c>
      <c r="I34" s="13" t="n">
        <f aca="false">IFERROR(INDEX(CAPABILITIES!$H$7:$H$15,MATCH(PLAY!$D34,CAPABILITIES!$A$7:$A$15,0)),"")</f>
        <v>0</v>
      </c>
      <c r="J34" s="13" t="n">
        <f aca="false">IFERROR(INDEX(CAPABILITIES!$D$7:$D$15,MATCH(PLAY!$D34,CAPABILITIES!$A$7:$A$15,0))*INDEX(CAPABILITIES!$I$7:$I$15,MATCH(PLAY!$D34,CAPABILITIES!$A$7:$A$15,0)),0)</f>
        <v>0</v>
      </c>
      <c r="K34" s="13" t="n">
        <f aca="false">IFERROR(INDEX(CAPABILITIES!$E$7:$E$15,MATCH(PLAY!$D34,CAPABILITIES!$A$7:$A$15,0))+INDEX(CAPABILITIES!$J$7:$J$15,MATCH(PLAY!$D34,CAPABILITIES!$A$7:$A$15,0)),0)</f>
        <v>0</v>
      </c>
      <c r="L34" s="13" t="n">
        <f aca="false">IFERROR(INDEX(CAPABILITIES!$L$7:$L$15,MATCH(PLAY!$D34,CAPABILITIES!$A$7:$A$15,0)),0)</f>
        <v>0</v>
      </c>
      <c r="M34" s="13" t="str">
        <f aca="false">IFERROR(INDEX(CAPABILITIES!$B$7:$B$15,MATCH(PLAY!$F34,CAPABILITIES!$A$7:$A$15,0)),"NONE")</f>
        <v>NONE</v>
      </c>
      <c r="N34" s="13" t="n">
        <f aca="false">IFERROR(IF(INDEX(CAPABILITIES!$B$7:$B$15,MATCH(PLAY!$F34,CAPABILITIES!$A$7:$A$15,0))="DRIVER",INDEX(CAPABILITIES!$C$7:$C$15,MATCH(PLAY!$F34,CAPABILITIES!$A$7:$A$15,0)),PLAY!$G34),"")</f>
        <v>0</v>
      </c>
      <c r="O34" s="13" t="n">
        <f aca="false">IFERROR(INDEX(CAPABILITIES!$D$7:$D$15,MATCH(PLAY!$F34,CAPABILITIES!$A$7:$A$15,0))*IF(INDEX(CAPABILITIES!$K$7:$K$15,MATCH(PLAY!$F34,CAPABILITIES!$A$7:$A$15,0))="Y",IF(IFERROR(INDEX($AA33:$AH33,MATCH(PLAY!$G34,REGIONS!$B$7:$B$14,0)),0)&lt;ASSUMPTIONS!$B$20,1,ASSUMPTIONS!$B$21),1),0)</f>
        <v>0</v>
      </c>
      <c r="P34" s="13" t="n">
        <f aca="false">IFERROR(INDEX(CAPABILITIES!$E$7:$E$15,MATCH(PLAY!$F34,CAPABILITIES!$A$7:$A$15,0)),0)</f>
        <v>0</v>
      </c>
      <c r="Q34" s="13" t="n">
        <f aca="false">IFERROR(INDEX(CAPABILITIES!$F$7:$F$15,MATCH(PLAY!$F34,CAPABILITIES!$A$7:$A$15,0)),0)</f>
        <v>0</v>
      </c>
      <c r="R34" s="13" t="n">
        <f aca="false">IFERROR(INDEX(CAPABILITIES!$G$7:$G$15,MATCH(PLAY!$F34,CAPABILITIES!$A$7:$A$15,0)),0)</f>
        <v>0</v>
      </c>
      <c r="S34" s="13" t="n">
        <f aca="false">IFERROR(INDEX(CAPABILITIES!$H$7:$H$15,MATCH(PLAY!$F34,CAPABILITIES!$A$7:$A$15,0)),"")</f>
        <v>0</v>
      </c>
      <c r="T34" s="13" t="n">
        <f aca="false">IFERROR(INDEX(CAPABILITIES!$D$7:$D$15,MATCH(PLAY!$F34,CAPABILITIES!$A$7:$A$15,0))*INDEX(CAPABILITIES!$I$7:$I$15,MATCH(PLAY!$F34,CAPABILITIES!$A$7:$A$15,0)),0)</f>
        <v>0</v>
      </c>
      <c r="U34" s="13" t="n">
        <f aca="false">IFERROR(INDEX(CAPABILITIES!$E$7:$E$15,MATCH(PLAY!$F34,CAPABILITIES!$A$7:$A$15,0))+INDEX(CAPABILITIES!$J$7:$J$15,MATCH(PLAY!$F34,CAPABILITIES!$A$7:$A$15,0)),0)</f>
        <v>0</v>
      </c>
      <c r="V34" s="13" t="n">
        <f aca="false">IFERROR(INDEX(CAPABILITIES!$L$7:$L$15,MATCH(PLAY!$F34,CAPABILITIES!$A$7:$A$15,0)),0)</f>
        <v>0</v>
      </c>
      <c r="W34" s="28" t="n">
        <f aca="false">CLIMATE!D34+SUMPRODUCT(($D$8:$D$33="ENSO")*($F$8:$F$33+$A$8:$A$33=$A34)*$E$8:$E$33)+SUMPRODUCT(($I$8:$I$33="ENSO")*($K$8:$K$33+$A$8:$A$33=$A34)*$J$8:$J$33)+SUMPRODUCT(($N$8:$N$33="ENSO")*($P$8:$P$33+$A$8:$A$33=$A34)*$O$8:$O$33)+SUMPRODUCT(($S$8:$S$33="ENSO")*($U$8:$U$33+$A$8:$A$33=$A34)*$T$8:$T$33)</f>
        <v>0.497</v>
      </c>
      <c r="X34" s="28" t="n">
        <f aca="false">CLIMATE!E34+SUMPRODUCT(($D$8:$D$33="IOD")*($F$8:$F$33+$A$8:$A$33=$A34)*$E$8:$E$33)+SUMPRODUCT(($I$8:$I$33="IOD")*($K$8:$K$33+$A$8:$A$33=$A34)*$J$8:$J$33)+SUMPRODUCT(($N$8:$N$33="IOD")*($P$8:$P$33+$A$8:$A$33=$A34)*$O$8:$O$33)+SUMPRODUCT(($S$8:$S$33="IOD")*($U$8:$U$33+$A$8:$A$33=$A34)*$T$8:$T$33)</f>
        <v>0.785</v>
      </c>
      <c r="Y34" s="28" t="n">
        <f aca="false">CLIMATE!F34+SUMPRODUCT(($D$8:$D$33="NATL")*($F$8:$F$33+$A$8:$A$33=$A34)*$E$8:$E$33)+SUMPRODUCT(($I$8:$I$33="NATL")*($K$8:$K$33+$A$8:$A$33=$A34)*$J$8:$J$33)+SUMPRODUCT(($N$8:$N$33="NATL")*($P$8:$P$33+$A$8:$A$33=$A34)*$O$8:$O$33)+SUMPRODUCT(($S$8:$S$33="NATL")*($U$8:$U$33+$A$8:$A$33=$A34)*$T$8:$T$33)</f>
        <v>-0.092</v>
      </c>
      <c r="Z34" s="28" t="n">
        <f aca="false">CLIMATE!G34+SUMPRODUCT(($D$8:$D$33="GLOBAL")*($F$8:$F$33+$A$8:$A$33=$A34)*$E$8:$E$33)+SUMPRODUCT(($I$8:$I$33="GLOBAL")*($K$8:$K$33+$A$8:$A$33=$A34)*$J$8:$J$33)+SUMPRODUCT(($N$8:$N$33="GLOBAL")*($P$8:$P$33+$A$8:$A$33=$A34)*$O$8:$O$33)+SUMPRODUCT(($S$8:$S$33="GLOBAL")*($U$8:$U$33+$A$8:$A$33=$A34)*$T$8:$T$33)</f>
        <v>0</v>
      </c>
      <c r="AA34" s="28" t="n">
        <f aca="false">CLIMATE!H34+IFERROR(INDEX($W$8:$W$47,$A34-GRAPH!B17),0)*GRAPH!B9+IFERROR(INDEX($X$8:$X$47,$A34-GRAPH!B18),0)*GRAPH!B10+IFERROR(INDEX($Y$8:$Y$47,$A34-GRAPH!B19),0)*GRAPH!B11+IFERROR(INDEX($Z$8:$Z$47,$A34-GRAPH!B20),0)*GRAPH!B12+SUMPRODUCT(($D$8:$D$33=REGIONS!$B$7)*($F$8:$F$33+$A$8:$A$33=$A34)*$E$8:$E$33)+SUMPRODUCT(($N$8:$N$33=REGIONS!$B$7)*($P$8:$P$33+$A$8:$A$33=$A34)*$O$8:$O$33)</f>
        <v>-0.0445</v>
      </c>
      <c r="AB34" s="28" t="n">
        <f aca="false">CLIMATE!I34+IFERROR(INDEX($W$8:$W$47,$A34-GRAPH!C17),0)*GRAPH!C9+IFERROR(INDEX($X$8:$X$47,$A34-GRAPH!C18),0)*GRAPH!C10+IFERROR(INDEX($Y$8:$Y$47,$A34-GRAPH!C19),0)*GRAPH!C11+IFERROR(INDEX($Z$8:$Z$47,$A34-GRAPH!C20),0)*GRAPH!C12+SUMPRODUCT(($D$8:$D$33=REGIONS!$B$8)*($F$8:$F$33+$A$8:$A$33=$A34)*$E$8:$E$33)+SUMPRODUCT(($N$8:$N$33=REGIONS!$B$8)*($P$8:$P$33+$A$8:$A$33=$A34)*$O$8:$O$33)</f>
        <v>0.1965</v>
      </c>
      <c r="AC34" s="28" t="n">
        <f aca="false">CLIMATE!J34+IFERROR(INDEX($W$8:$W$47,$A34-GRAPH!D17),0)*GRAPH!D9+IFERROR(INDEX($X$8:$X$47,$A34-GRAPH!D18),0)*GRAPH!D10+IFERROR(INDEX($Y$8:$Y$47,$A34-GRAPH!D19),0)*GRAPH!D11+IFERROR(INDEX($Z$8:$Z$47,$A34-GRAPH!D20),0)*GRAPH!D12+SUMPRODUCT(($D$8:$D$33=REGIONS!$B$9)*($F$8:$F$33+$A$8:$A$33=$A34)*$E$8:$E$33)+SUMPRODUCT(($N$8:$N$33=REGIONS!$B$9)*($P$8:$P$33+$A$8:$A$33=$A34)*$O$8:$O$33)</f>
        <v>-0.2675</v>
      </c>
      <c r="AD34" s="28" t="n">
        <f aca="false">CLIMATE!K34+IFERROR(INDEX($W$8:$W$47,$A34-GRAPH!E17),0)*GRAPH!E9+IFERROR(INDEX($X$8:$X$47,$A34-GRAPH!E18),0)*GRAPH!E10+IFERROR(INDEX($Y$8:$Y$47,$A34-GRAPH!E19),0)*GRAPH!E11+IFERROR(INDEX($Z$8:$Z$47,$A34-GRAPH!E20),0)*GRAPH!E12+SUMPRODUCT(($D$8:$D$33=REGIONS!$B$10)*($F$8:$F$33+$A$8:$A$33=$A34)*$E$8:$E$33)+SUMPRODUCT(($N$8:$N$33=REGIONS!$B$10)*($P$8:$P$33+$A$8:$A$33=$A34)*$O$8:$O$33)</f>
        <v>0.2456</v>
      </c>
      <c r="AE34" s="28" t="n">
        <f aca="false">CLIMATE!L34+IFERROR(INDEX($W$8:$W$47,$A34-GRAPH!F17),0)*GRAPH!F9+IFERROR(INDEX($X$8:$X$47,$A34-GRAPH!F18),0)*GRAPH!F10+IFERROR(INDEX($Y$8:$Y$47,$A34-GRAPH!F19),0)*GRAPH!F11+IFERROR(INDEX($Z$8:$Z$47,$A34-GRAPH!F20),0)*GRAPH!F12+SUMPRODUCT(($D$8:$D$33=REGIONS!$B$11)*($F$8:$F$33+$A$8:$A$33=$A34)*$E$8:$E$33)+SUMPRODUCT(($N$8:$N$33=REGIONS!$B$11)*($P$8:$P$33+$A$8:$A$33=$A34)*$O$8:$O$33)</f>
        <v>-0.6266</v>
      </c>
      <c r="AF34" s="28" t="n">
        <f aca="false">CLIMATE!M34+IFERROR(INDEX($W$8:$W$47,$A34-GRAPH!G17),0)*GRAPH!G9+IFERROR(INDEX($X$8:$X$47,$A34-GRAPH!G18),0)*GRAPH!G10+IFERROR(INDEX($Y$8:$Y$47,$A34-GRAPH!G19),0)*GRAPH!G11+IFERROR(INDEX($Z$8:$Z$47,$A34-GRAPH!G20),0)*GRAPH!G12+SUMPRODUCT(($D$8:$D$33=REGIONS!$B$12)*($F$8:$F$33+$A$8:$A$33=$A34)*$E$8:$E$33)+SUMPRODUCT(($N$8:$N$33=REGIONS!$B$12)*($P$8:$P$33+$A$8:$A$33=$A34)*$O$8:$O$33)</f>
        <v>-0.7736</v>
      </c>
      <c r="AG34" s="28" t="n">
        <f aca="false">CLIMATE!N34+IFERROR(INDEX($W$8:$W$47,$A34-GRAPH!H17),0)*GRAPH!H9+IFERROR(INDEX($X$8:$X$47,$A34-GRAPH!H18),0)*GRAPH!H10+IFERROR(INDEX($Y$8:$Y$47,$A34-GRAPH!H19),0)*GRAPH!H11+IFERROR(INDEX($Z$8:$Z$47,$A34-GRAPH!H20),0)*GRAPH!H12+SUMPRODUCT(($D$8:$D$33=REGIONS!$B$13)*($F$8:$F$33+$A$8:$A$33=$A34)*$E$8:$E$33)+SUMPRODUCT(($N$8:$N$33=REGIONS!$B$13)*($P$8:$P$33+$A$8:$A$33=$A34)*$O$8:$O$33)</f>
        <v>0.132</v>
      </c>
      <c r="AH34" s="28" t="n">
        <f aca="false">CLIMATE!O34+IFERROR(INDEX($W$8:$W$47,$A34-GRAPH!I17),0)*GRAPH!I9+IFERROR(INDEX($X$8:$X$47,$A34-GRAPH!I18),0)*GRAPH!I10+IFERROR(INDEX($Y$8:$Y$47,$A34-GRAPH!I19),0)*GRAPH!I11+IFERROR(INDEX($Z$8:$Z$47,$A34-GRAPH!I20),0)*GRAPH!I12+SUMPRODUCT(($D$8:$D$33=REGIONS!$B$14)*($F$8:$F$33+$A$8:$A$33=$A34)*$E$8:$E$33)+SUMPRODUCT(($N$8:$N$33=REGIONS!$B$14)*($P$8:$P$33+$A$8:$A$33=$A34)*$O$8:$O$33)</f>
        <v>0.575</v>
      </c>
      <c r="AI34" s="28" t="n">
        <f aca="false">REGIONS!$F$7*(1+ASSUMPTIONS!$B$19*$A34)</f>
        <v>0.9296</v>
      </c>
      <c r="AJ34" s="28" t="n">
        <f aca="false">REGIONS!$F$8*(1+ASSUMPTIONS!$B$19*$A34)</f>
        <v>1.0458</v>
      </c>
      <c r="AK34" s="28" t="n">
        <f aca="false">REGIONS!$F$9*(1+ASSUMPTIONS!$B$19*$A34)</f>
        <v>1.0458</v>
      </c>
      <c r="AL34" s="28" t="n">
        <f aca="false">REGIONS!$F$10*(1+ASSUMPTIONS!$B$19*$A34)</f>
        <v>0.8134</v>
      </c>
      <c r="AM34" s="28" t="n">
        <f aca="false">REGIONS!$F$11*(1+ASSUMPTIONS!$B$19*$A34)</f>
        <v>0.8134</v>
      </c>
      <c r="AN34" s="28" t="n">
        <f aca="false">REGIONS!$F$12*(1+ASSUMPTIONS!$B$19*$A34)</f>
        <v>1.2782</v>
      </c>
      <c r="AO34" s="28" t="n">
        <f aca="false">REGIONS!$F$13*(1+ASSUMPTIONS!$B$19*$A34)</f>
        <v>1.3944</v>
      </c>
      <c r="AP34" s="28" t="n">
        <f aca="false">REGIONS!$F$14*(1+ASSUMPTIONS!$B$19*$A34)</f>
        <v>1.3944</v>
      </c>
      <c r="AQ34" s="11" t="n">
        <f aca="false">SUMPRODUCT(($D$8:$D$47=REGIONS!$B$7)*($A$8:$A$47&lt;=$A34)*$L$8:$L$47)+SUMPRODUCT(($N$8:$N$47=REGIONS!$B$7)*($A$8:$A$47&lt;=$A34)*$V$8:$V$47)</f>
        <v>0</v>
      </c>
      <c r="AR34" s="11" t="n">
        <f aca="false">SUMPRODUCT(($D$8:$D$47=REGIONS!$B$8)*($A$8:$A$47&lt;=$A34)*$L$8:$L$47)+SUMPRODUCT(($N$8:$N$47=REGIONS!$B$8)*($A$8:$A$47&lt;=$A34)*$V$8:$V$47)</f>
        <v>0</v>
      </c>
      <c r="AS34" s="11" t="n">
        <f aca="false">SUMPRODUCT(($D$8:$D$47=REGIONS!$B$9)*($A$8:$A$47&lt;=$A34)*$L$8:$L$47)+SUMPRODUCT(($N$8:$N$47=REGIONS!$B$9)*($A$8:$A$47&lt;=$A34)*$V$8:$V$47)</f>
        <v>0</v>
      </c>
      <c r="AT34" s="11" t="n">
        <f aca="false">SUMPRODUCT(($D$8:$D$47=REGIONS!$B$10)*($A$8:$A$47&lt;=$A34)*$L$8:$L$47)+SUMPRODUCT(($N$8:$N$47=REGIONS!$B$10)*($A$8:$A$47&lt;=$A34)*$V$8:$V$47)</f>
        <v>0</v>
      </c>
      <c r="AU34" s="11" t="n">
        <f aca="false">SUMPRODUCT(($D$8:$D$47=REGIONS!$B$11)*($A$8:$A$47&lt;=$A34)*$L$8:$L$47)+SUMPRODUCT(($N$8:$N$47=REGIONS!$B$11)*($A$8:$A$47&lt;=$A34)*$V$8:$V$47)</f>
        <v>0</v>
      </c>
      <c r="AV34" s="11" t="n">
        <f aca="false">SUMPRODUCT(($D$8:$D$47=REGIONS!$B$12)*($A$8:$A$47&lt;=$A34)*$L$8:$L$47)+SUMPRODUCT(($N$8:$N$47=REGIONS!$B$12)*($A$8:$A$47&lt;=$A34)*$V$8:$V$47)</f>
        <v>0</v>
      </c>
      <c r="AW34" s="11" t="n">
        <f aca="false">SUMPRODUCT(($D$8:$D$47=REGIONS!$B$13)*($A$8:$A$47&lt;=$A34)*$L$8:$L$47)+SUMPRODUCT(($N$8:$N$47=REGIONS!$B$13)*($A$8:$A$47&lt;=$A34)*$V$8:$V$47)</f>
        <v>0</v>
      </c>
      <c r="AX34" s="11" t="n">
        <f aca="false">SUMPRODUCT(($D$8:$D$47=REGIONS!$B$14)*($A$8:$A$47&lt;=$A34)*$L$8:$L$47)+SUMPRODUCT(($N$8:$N$47=REGIONS!$B$14)*($A$8:$A$47&lt;=$A34)*$V$8:$V$47)</f>
        <v>0</v>
      </c>
      <c r="AY34" s="12" t="n">
        <f aca="false">MAX(0,MIN(135,100-(MAX(0,-$AA34)*REGIONS!$E$7*ASSUMPTIONS!$B$7+MAX(0,$AA34-ASSUMPTIONS!$B$9)*REGIONS!$E$7*ASSUMPTIONS!$B$8)*(1-$AQ34/100)))</f>
        <v>99.377</v>
      </c>
      <c r="AZ34" s="12" t="n">
        <f aca="false">MAX(0,MIN(135,100-(MAX(0,-$AB34)*REGIONS!$E$8*ASSUMPTIONS!$B$7+MAX(0,$AB34-ASSUMPTIONS!$B$9)*REGIONS!$E$8*ASSUMPTIONS!$B$8)*(1-$AR34/100)))</f>
        <v>100</v>
      </c>
      <c r="BA34" s="12" t="n">
        <f aca="false">MAX(0,MIN(135,100-(MAX(0,-$AC34)*REGIONS!$E$9*ASSUMPTIONS!$B$7+MAX(0,$AC34-ASSUMPTIONS!$B$9)*REGIONS!$E$9*ASSUMPTIONS!$B$8)*(1-$AS34/100)))</f>
        <v>96.255</v>
      </c>
      <c r="BB34" s="12" t="n">
        <f aca="false">MAX(0,MIN(135,100-(MAX(0,-$AD34)*REGIONS!$E$10*ASSUMPTIONS!$B$7+MAX(0,$AD34-ASSUMPTIONS!$B$9)*REGIONS!$E$10*ASSUMPTIONS!$B$8)*(1-$AT34/100)))</f>
        <v>100</v>
      </c>
      <c r="BC34" s="12" t="n">
        <f aca="false">MAX(0,MIN(135,100-(MAX(0,-$AE34)*REGIONS!$E$11*ASSUMPTIONS!$B$7+MAX(0,$AE34-ASSUMPTIONS!$B$9)*REGIONS!$E$11*ASSUMPTIONS!$B$8)*(1-$AU34/100)))</f>
        <v>90.35036</v>
      </c>
      <c r="BD34" s="12" t="n">
        <f aca="false">MAX(0,MIN(135,100-(MAX(0,-$AF34)*REGIONS!$E$12*ASSUMPTIONS!$B$7+MAX(0,$AF34-ASSUMPTIONS!$B$9)*REGIONS!$E$12*ASSUMPTIONS!$B$8)*(1-$AV34/100)))</f>
        <v>85.92048</v>
      </c>
      <c r="BE34" s="12" t="n">
        <f aca="false">MAX(0,MIN(135,100-(MAX(0,-$AG34)*REGIONS!$E$13*ASSUMPTIONS!$B$7+MAX(0,$AG34-ASSUMPTIONS!$B$9)*REGIONS!$E$13*ASSUMPTIONS!$B$8)*(1-$AW34/100)))</f>
        <v>100</v>
      </c>
      <c r="BF34" s="12" t="n">
        <f aca="false">MAX(0,MIN(135,100-(MAX(0,-$AH34)*REGIONS!$E$14*ASSUMPTIONS!$B$7+MAX(0,$AH34-ASSUMPTIONS!$B$9)*REGIONS!$E$14*ASSUMPTIONS!$B$8)*(1-$AX34/100)))</f>
        <v>100</v>
      </c>
      <c r="BG34" s="12" t="n">
        <f aca="false">$AY34*REGIONS!$D$7/100+$AZ34*REGIONS!$D$8/100+$BA34*REGIONS!$D$9/100+$BB34*REGIONS!$D$10/100+$BC34*REGIONS!$D$11/100+$BD34*REGIONS!$D$12/100+$BE34*REGIONS!$D$13/100+$BF34*REGIONS!$D$14/100</f>
        <v>97.1701268</v>
      </c>
      <c r="BH34" s="12" t="n">
        <f aca="false">100*(100/MAX(1,$BG34))^ASSUMPTIONS!$B$10</f>
        <v>105.303065688039</v>
      </c>
      <c r="BI34" s="12" t="n">
        <f aca="false">$AY34*$BH34/100*ASSUMPTIONS!$B$11</f>
        <v>88.9499734504821</v>
      </c>
      <c r="BJ34" s="28" t="n">
        <f aca="false">MAX(0,ABS($AA34)-$AI34*ASSUMPTIONS!$B$24)*REGIONS!$D$7/100+MAX(0,ABS($AB34)-$AJ34*ASSUMPTIONS!$B$24)*REGIONS!$D$8/100+MAX(0,ABS($AC34)-$AK34*ASSUMPTIONS!$B$24)*REGIONS!$D$9/100+MAX(0,ABS($AD34)-$AL34*ASSUMPTIONS!$B$24)*REGIONS!$D$10/100+MAX(0,ABS($AE34)-$AM34*ASSUMPTIONS!$B$24)*REGIONS!$D$11/100+MAX(0,ABS($AF34)-$AN34*ASSUMPTIONS!$B$24)*REGIONS!$D$12/100+MAX(0,ABS($AG34)-$AO34*ASSUMPTIONS!$B$24)*REGIONS!$D$13/100+MAX(0,ABS($AH34)-$AP34*ASSUMPTIONS!$B$24)*REGIONS!$D$14/100</f>
        <v>0.00198600000000001</v>
      </c>
      <c r="BK34" s="12" t="n">
        <f aca="false">MIN(ASSUMPTIONS!$B$14,ASSUMPTIONS!$B$12+$BJ34*ASSUMPTIONS!$B$13)</f>
        <v>28.083412</v>
      </c>
      <c r="BL34" s="11" t="n">
        <f aca="false">$H34+$R34</f>
        <v>0</v>
      </c>
      <c r="BM34" s="11" t="n">
        <f aca="false">PLAY!$H34</f>
        <v>0</v>
      </c>
      <c r="BN34" s="12" t="n">
        <f aca="false">$BI34*ASSUMPTIONS!$B$15+$BK34*ASSUMPTIONS!$B$16</f>
        <v>35.9490676140579</v>
      </c>
      <c r="BO34" s="12" t="n">
        <f aca="false">$BO33+$BN34-$BL34-$BM34-ASSUMPTIONS!$B$23</f>
        <v>242.279086187068</v>
      </c>
      <c r="BP34" s="12" t="n">
        <f aca="false">(SUMPRODUCT(($F$8:$F$33+$A$8:$A$33=$A34)*($C$8:$C$33&lt;&gt;"NONE")*$G$8:$G$33)+SUMPRODUCT(($P$8:$P$33+$A$8:$A$33=$A34)*($M$8:$M$33&lt;&gt;"NONE")*$Q$8:$Q$33))*(1+ASSUMPTIONS!$B$22*(MAX(0,ABS($AA34)/$AI34-1)+MAX(0,ABS($AB34)/$AJ34-1)+MAX(0,ABS($AC34)/$AK34-1)+MAX(0,ABS($AD34)/$AL34-1)+MAX(0,ABS($AE34)/$AM34-1)+MAX(0,ABS($AF34)/$AN34-1)+MAX(0,ABS($AG34)/$AO34-1)+MAX(0,ABS($AH34)/$AP34-1))/8)</f>
        <v>0</v>
      </c>
      <c r="BQ34" s="12" t="n">
        <f aca="false">MAX(0,$BQ33*(1-ASSUMPTIONS!$B$18)+$BP34-$BM34*ASSUMPTIONS!$B$17)</f>
        <v>0.76116825061942</v>
      </c>
    </row>
    <row r="35" customFormat="false" ht="15" hidden="false" customHeight="false" outlineLevel="0" collapsed="false">
      <c r="A35" s="13" t="n">
        <v>28</v>
      </c>
      <c r="B35" s="11" t="n">
        <f aca="false">CLIMATE!B35</f>
        <v>1952</v>
      </c>
      <c r="C35" s="13" t="str">
        <f aca="false">IFERROR(INDEX(CAPABILITIES!$B$7:$B$15,MATCH(PLAY!$D35,CAPABILITIES!$A$7:$A$15,0)),"NONE")</f>
        <v>NONE</v>
      </c>
      <c r="D35" s="13" t="n">
        <f aca="false">IFERROR(IF(INDEX(CAPABILITIES!$B$7:$B$15,MATCH(PLAY!$D35,CAPABILITIES!$A$7:$A$15,0))="DRIVER",INDEX(CAPABILITIES!$C$7:$C$15,MATCH(PLAY!$D35,CAPABILITIES!$A$7:$A$15,0)),PLAY!$E35),"")</f>
        <v>0</v>
      </c>
      <c r="E35" s="13" t="n">
        <f aca="false">IFERROR(INDEX(CAPABILITIES!$D$7:$D$15,MATCH(PLAY!$D35,CAPABILITIES!$A$7:$A$15,0))*IF(INDEX(CAPABILITIES!$K$7:$K$15,MATCH(PLAY!$D35,CAPABILITIES!$A$7:$A$15,0))="Y",IF(IFERROR(INDEX($AA34:$AH34,MATCH(PLAY!$E35,REGIONS!$B$7:$B$14,0)),0)&lt;ASSUMPTIONS!$B$20,1,ASSUMPTIONS!$B$21),1),0)</f>
        <v>0</v>
      </c>
      <c r="F35" s="13" t="n">
        <f aca="false">IFERROR(INDEX(CAPABILITIES!$E$7:$E$15,MATCH(PLAY!$D35,CAPABILITIES!$A$7:$A$15,0)),0)</f>
        <v>0</v>
      </c>
      <c r="G35" s="13" t="n">
        <f aca="false">IFERROR(INDEX(CAPABILITIES!$F$7:$F$15,MATCH(PLAY!$D35,CAPABILITIES!$A$7:$A$15,0)),0)</f>
        <v>0</v>
      </c>
      <c r="H35" s="13" t="n">
        <f aca="false">IFERROR(INDEX(CAPABILITIES!$G$7:$G$15,MATCH(PLAY!$D35,CAPABILITIES!$A$7:$A$15,0)),0)</f>
        <v>0</v>
      </c>
      <c r="I35" s="13" t="n">
        <f aca="false">IFERROR(INDEX(CAPABILITIES!$H$7:$H$15,MATCH(PLAY!$D35,CAPABILITIES!$A$7:$A$15,0)),"")</f>
        <v>0</v>
      </c>
      <c r="J35" s="13" t="n">
        <f aca="false">IFERROR(INDEX(CAPABILITIES!$D$7:$D$15,MATCH(PLAY!$D35,CAPABILITIES!$A$7:$A$15,0))*INDEX(CAPABILITIES!$I$7:$I$15,MATCH(PLAY!$D35,CAPABILITIES!$A$7:$A$15,0)),0)</f>
        <v>0</v>
      </c>
      <c r="K35" s="13" t="n">
        <f aca="false">IFERROR(INDEX(CAPABILITIES!$E$7:$E$15,MATCH(PLAY!$D35,CAPABILITIES!$A$7:$A$15,0))+INDEX(CAPABILITIES!$J$7:$J$15,MATCH(PLAY!$D35,CAPABILITIES!$A$7:$A$15,0)),0)</f>
        <v>0</v>
      </c>
      <c r="L35" s="13" t="n">
        <f aca="false">IFERROR(INDEX(CAPABILITIES!$L$7:$L$15,MATCH(PLAY!$D35,CAPABILITIES!$A$7:$A$15,0)),0)</f>
        <v>0</v>
      </c>
      <c r="M35" s="13" t="str">
        <f aca="false">IFERROR(INDEX(CAPABILITIES!$B$7:$B$15,MATCH(PLAY!$F35,CAPABILITIES!$A$7:$A$15,0)),"NONE")</f>
        <v>NONE</v>
      </c>
      <c r="N35" s="13" t="n">
        <f aca="false">IFERROR(IF(INDEX(CAPABILITIES!$B$7:$B$15,MATCH(PLAY!$F35,CAPABILITIES!$A$7:$A$15,0))="DRIVER",INDEX(CAPABILITIES!$C$7:$C$15,MATCH(PLAY!$F35,CAPABILITIES!$A$7:$A$15,0)),PLAY!$G35),"")</f>
        <v>0</v>
      </c>
      <c r="O35" s="13" t="n">
        <f aca="false">IFERROR(INDEX(CAPABILITIES!$D$7:$D$15,MATCH(PLAY!$F35,CAPABILITIES!$A$7:$A$15,0))*IF(INDEX(CAPABILITIES!$K$7:$K$15,MATCH(PLAY!$F35,CAPABILITIES!$A$7:$A$15,0))="Y",IF(IFERROR(INDEX($AA34:$AH34,MATCH(PLAY!$G35,REGIONS!$B$7:$B$14,0)),0)&lt;ASSUMPTIONS!$B$20,1,ASSUMPTIONS!$B$21),1),0)</f>
        <v>0</v>
      </c>
      <c r="P35" s="13" t="n">
        <f aca="false">IFERROR(INDEX(CAPABILITIES!$E$7:$E$15,MATCH(PLAY!$F35,CAPABILITIES!$A$7:$A$15,0)),0)</f>
        <v>0</v>
      </c>
      <c r="Q35" s="13" t="n">
        <f aca="false">IFERROR(INDEX(CAPABILITIES!$F$7:$F$15,MATCH(PLAY!$F35,CAPABILITIES!$A$7:$A$15,0)),0)</f>
        <v>0</v>
      </c>
      <c r="R35" s="13" t="n">
        <f aca="false">IFERROR(INDEX(CAPABILITIES!$G$7:$G$15,MATCH(PLAY!$F35,CAPABILITIES!$A$7:$A$15,0)),0)</f>
        <v>0</v>
      </c>
      <c r="S35" s="13" t="n">
        <f aca="false">IFERROR(INDEX(CAPABILITIES!$H$7:$H$15,MATCH(PLAY!$F35,CAPABILITIES!$A$7:$A$15,0)),"")</f>
        <v>0</v>
      </c>
      <c r="T35" s="13" t="n">
        <f aca="false">IFERROR(INDEX(CAPABILITIES!$D$7:$D$15,MATCH(PLAY!$F35,CAPABILITIES!$A$7:$A$15,0))*INDEX(CAPABILITIES!$I$7:$I$15,MATCH(PLAY!$F35,CAPABILITIES!$A$7:$A$15,0)),0)</f>
        <v>0</v>
      </c>
      <c r="U35" s="13" t="n">
        <f aca="false">IFERROR(INDEX(CAPABILITIES!$E$7:$E$15,MATCH(PLAY!$F35,CAPABILITIES!$A$7:$A$15,0))+INDEX(CAPABILITIES!$J$7:$J$15,MATCH(PLAY!$F35,CAPABILITIES!$A$7:$A$15,0)),0)</f>
        <v>0</v>
      </c>
      <c r="V35" s="13" t="n">
        <f aca="false">IFERROR(INDEX(CAPABILITIES!$L$7:$L$15,MATCH(PLAY!$F35,CAPABILITIES!$A$7:$A$15,0)),0)</f>
        <v>0</v>
      </c>
      <c r="W35" s="28" t="n">
        <f aca="false">CLIMATE!D35+SUMPRODUCT(($D$8:$D$34="ENSO")*($F$8:$F$34+$A$8:$A$34=$A35)*$E$8:$E$34)+SUMPRODUCT(($I$8:$I$34="ENSO")*($K$8:$K$34+$A$8:$A$34=$A35)*$J$8:$J$34)+SUMPRODUCT(($N$8:$N$34="ENSO")*($P$8:$P$34+$A$8:$A$34=$A35)*$O$8:$O$34)+SUMPRODUCT(($S$8:$S$34="ENSO")*($U$8:$U$34+$A$8:$A$34=$A35)*$T$8:$T$34)</f>
        <v>0.22</v>
      </c>
      <c r="X35" s="28" t="n">
        <f aca="false">CLIMATE!E35+SUMPRODUCT(($D$8:$D$34="IOD")*($F$8:$F$34+$A$8:$A$34=$A35)*$E$8:$E$34)+SUMPRODUCT(($I$8:$I$34="IOD")*($K$8:$K$34+$A$8:$A$34=$A35)*$J$8:$J$34)+SUMPRODUCT(($N$8:$N$34="IOD")*($P$8:$P$34+$A$8:$A$34=$A35)*$O$8:$O$34)+SUMPRODUCT(($S$8:$S$34="IOD")*($U$8:$U$34+$A$8:$A$34=$A35)*$T$8:$T$34)</f>
        <v>0.125</v>
      </c>
      <c r="Y35" s="28" t="n">
        <f aca="false">CLIMATE!F35+SUMPRODUCT(($D$8:$D$34="NATL")*($F$8:$F$34+$A$8:$A$34=$A35)*$E$8:$E$34)+SUMPRODUCT(($I$8:$I$34="NATL")*($K$8:$K$34+$A$8:$A$34=$A35)*$J$8:$J$34)+SUMPRODUCT(($N$8:$N$34="NATL")*($P$8:$P$34+$A$8:$A$34=$A35)*$O$8:$O$34)+SUMPRODUCT(($S$8:$S$34="NATL")*($U$8:$U$34+$A$8:$A$34=$A35)*$T$8:$T$34)</f>
        <v>-0.015</v>
      </c>
      <c r="Z35" s="28" t="n">
        <f aca="false">CLIMATE!G35+SUMPRODUCT(($D$8:$D$34="GLOBAL")*($F$8:$F$34+$A$8:$A$34=$A35)*$E$8:$E$34)+SUMPRODUCT(($I$8:$I$34="GLOBAL")*($K$8:$K$34+$A$8:$A$34=$A35)*$J$8:$J$34)+SUMPRODUCT(($N$8:$N$34="GLOBAL")*($P$8:$P$34+$A$8:$A$34=$A35)*$O$8:$O$34)+SUMPRODUCT(($S$8:$S$34="GLOBAL")*($U$8:$U$34+$A$8:$A$34=$A35)*$T$8:$T$34)</f>
        <v>0</v>
      </c>
      <c r="AA35" s="28" t="n">
        <f aca="false">CLIMATE!H35+IFERROR(INDEX($W$8:$W$47,$A35-GRAPH!B17),0)*GRAPH!B9+IFERROR(INDEX($X$8:$X$47,$A35-GRAPH!B18),0)*GRAPH!B10+IFERROR(INDEX($Y$8:$Y$47,$A35-GRAPH!B19),0)*GRAPH!B11+IFERROR(INDEX($Z$8:$Z$47,$A35-GRAPH!B20),0)*GRAPH!B12+SUMPRODUCT(($D$8:$D$34=REGIONS!$B$7)*($F$8:$F$34+$A$8:$A$34=$A35)*$E$8:$E$34)+SUMPRODUCT(($N$8:$N$34=REGIONS!$B$7)*($P$8:$P$34+$A$8:$A$34=$A35)*$O$8:$O$34)</f>
        <v>0.00389999999999999</v>
      </c>
      <c r="AB35" s="28" t="n">
        <f aca="false">CLIMATE!I35+IFERROR(INDEX($W$8:$W$47,$A35-GRAPH!C17),0)*GRAPH!C9+IFERROR(INDEX($X$8:$X$47,$A35-GRAPH!C18),0)*GRAPH!C10+IFERROR(INDEX($Y$8:$Y$47,$A35-GRAPH!C19),0)*GRAPH!C11+IFERROR(INDEX($Z$8:$Z$47,$A35-GRAPH!C20),0)*GRAPH!C12+SUMPRODUCT(($D$8:$D$34=REGIONS!$B$8)*($F$8:$F$34+$A$8:$A$34=$A35)*$E$8:$E$34)+SUMPRODUCT(($N$8:$N$34=REGIONS!$B$8)*($P$8:$P$34+$A$8:$A$34=$A35)*$O$8:$O$34)</f>
        <v>0.1255</v>
      </c>
      <c r="AC35" s="28" t="n">
        <f aca="false">CLIMATE!J35+IFERROR(INDEX($W$8:$W$47,$A35-GRAPH!D17),0)*GRAPH!D9+IFERROR(INDEX($X$8:$X$47,$A35-GRAPH!D18),0)*GRAPH!D10+IFERROR(INDEX($Y$8:$Y$47,$A35-GRAPH!D19),0)*GRAPH!D11+IFERROR(INDEX($Z$8:$Z$47,$A35-GRAPH!D20),0)*GRAPH!D12+SUMPRODUCT(($D$8:$D$34=REGIONS!$B$9)*($F$8:$F$34+$A$8:$A$34=$A35)*$E$8:$E$34)+SUMPRODUCT(($N$8:$N$34=REGIONS!$B$9)*($P$8:$P$34+$A$8:$A$34=$A35)*$O$8:$O$34)</f>
        <v>0.055</v>
      </c>
      <c r="AD35" s="28" t="n">
        <f aca="false">CLIMATE!K35+IFERROR(INDEX($W$8:$W$47,$A35-GRAPH!E17),0)*GRAPH!E9+IFERROR(INDEX($X$8:$X$47,$A35-GRAPH!E18),0)*GRAPH!E10+IFERROR(INDEX($Y$8:$Y$47,$A35-GRAPH!E19),0)*GRAPH!E11+IFERROR(INDEX($Z$8:$Z$47,$A35-GRAPH!E20),0)*GRAPH!E12+SUMPRODUCT(($D$8:$D$34=REGIONS!$B$10)*($F$8:$F$34+$A$8:$A$34=$A35)*$E$8:$E$34)+SUMPRODUCT(($N$8:$N$34=REGIONS!$B$10)*($P$8:$P$34+$A$8:$A$34=$A35)*$O$8:$O$34)</f>
        <v>-0.3258</v>
      </c>
      <c r="AE35" s="28" t="n">
        <f aca="false">CLIMATE!L35+IFERROR(INDEX($W$8:$W$47,$A35-GRAPH!F17),0)*GRAPH!F9+IFERROR(INDEX($X$8:$X$47,$A35-GRAPH!F18),0)*GRAPH!F10+IFERROR(INDEX($Y$8:$Y$47,$A35-GRAPH!F19),0)*GRAPH!F11+IFERROR(INDEX($Z$8:$Z$47,$A35-GRAPH!F20),0)*GRAPH!F12+SUMPRODUCT(($D$8:$D$34=REGIONS!$B$11)*($F$8:$F$34+$A$8:$A$34=$A35)*$E$8:$E$34)+SUMPRODUCT(($N$8:$N$34=REGIONS!$B$11)*($P$8:$P$34+$A$8:$A$34=$A35)*$O$8:$O$34)</f>
        <v>-0.5629</v>
      </c>
      <c r="AF35" s="28" t="n">
        <f aca="false">CLIMATE!M35+IFERROR(INDEX($W$8:$W$47,$A35-GRAPH!G17),0)*GRAPH!G9+IFERROR(INDEX($X$8:$X$47,$A35-GRAPH!G18),0)*GRAPH!G10+IFERROR(INDEX($Y$8:$Y$47,$A35-GRAPH!G19),0)*GRAPH!G11+IFERROR(INDEX($Z$8:$Z$47,$A35-GRAPH!G20),0)*GRAPH!G12+SUMPRODUCT(($D$8:$D$34=REGIONS!$B$12)*($F$8:$F$34+$A$8:$A$34=$A35)*$E$8:$E$34)+SUMPRODUCT(($N$8:$N$34=REGIONS!$B$12)*($P$8:$P$34+$A$8:$A$34=$A35)*$O$8:$O$34)</f>
        <v>-1.0783</v>
      </c>
      <c r="AG35" s="28" t="n">
        <f aca="false">CLIMATE!N35+IFERROR(INDEX($W$8:$W$47,$A35-GRAPH!H17),0)*GRAPH!H9+IFERROR(INDEX($X$8:$X$47,$A35-GRAPH!H18),0)*GRAPH!H10+IFERROR(INDEX($Y$8:$Y$47,$A35-GRAPH!H19),0)*GRAPH!H11+IFERROR(INDEX($Z$8:$Z$47,$A35-GRAPH!H20),0)*GRAPH!H12+SUMPRODUCT(($D$8:$D$34=REGIONS!$B$13)*($F$8:$F$34+$A$8:$A$34=$A35)*$E$8:$E$34)+SUMPRODUCT(($N$8:$N$34=REGIONS!$B$13)*($P$8:$P$34+$A$8:$A$34=$A35)*$O$8:$O$34)</f>
        <v>-0.2489</v>
      </c>
      <c r="AH35" s="28" t="n">
        <f aca="false">CLIMATE!O35+IFERROR(INDEX($W$8:$W$47,$A35-GRAPH!I17),0)*GRAPH!I9+IFERROR(INDEX($X$8:$X$47,$A35-GRAPH!I18),0)*GRAPH!I10+IFERROR(INDEX($Y$8:$Y$47,$A35-GRAPH!I19),0)*GRAPH!I11+IFERROR(INDEX($Z$8:$Z$47,$A35-GRAPH!I20),0)*GRAPH!I12+SUMPRODUCT(($D$8:$D$34=REGIONS!$B$14)*($F$8:$F$34+$A$8:$A$34=$A35)*$E$8:$E$34)+SUMPRODUCT(($N$8:$N$34=REGIONS!$B$14)*($P$8:$P$34+$A$8:$A$34=$A35)*$O$8:$O$34)</f>
        <v>0.4286</v>
      </c>
      <c r="AI35" s="28" t="n">
        <f aca="false">REGIONS!$F$7*(1+ASSUMPTIONS!$B$19*$A35)</f>
        <v>0.9344</v>
      </c>
      <c r="AJ35" s="28" t="n">
        <f aca="false">REGIONS!$F$8*(1+ASSUMPTIONS!$B$19*$A35)</f>
        <v>1.0512</v>
      </c>
      <c r="AK35" s="28" t="n">
        <f aca="false">REGIONS!$F$9*(1+ASSUMPTIONS!$B$19*$A35)</f>
        <v>1.0512</v>
      </c>
      <c r="AL35" s="28" t="n">
        <f aca="false">REGIONS!$F$10*(1+ASSUMPTIONS!$B$19*$A35)</f>
        <v>0.8176</v>
      </c>
      <c r="AM35" s="28" t="n">
        <f aca="false">REGIONS!$F$11*(1+ASSUMPTIONS!$B$19*$A35)</f>
        <v>0.8176</v>
      </c>
      <c r="AN35" s="28" t="n">
        <f aca="false">REGIONS!$F$12*(1+ASSUMPTIONS!$B$19*$A35)</f>
        <v>1.2848</v>
      </c>
      <c r="AO35" s="28" t="n">
        <f aca="false">REGIONS!$F$13*(1+ASSUMPTIONS!$B$19*$A35)</f>
        <v>1.4016</v>
      </c>
      <c r="AP35" s="28" t="n">
        <f aca="false">REGIONS!$F$14*(1+ASSUMPTIONS!$B$19*$A35)</f>
        <v>1.4016</v>
      </c>
      <c r="AQ35" s="11" t="n">
        <f aca="false">SUMPRODUCT(($D$8:$D$47=REGIONS!$B$7)*($A$8:$A$47&lt;=$A35)*$L$8:$L$47)+SUMPRODUCT(($N$8:$N$47=REGIONS!$B$7)*($A$8:$A$47&lt;=$A35)*$V$8:$V$47)</f>
        <v>0</v>
      </c>
      <c r="AR35" s="11" t="n">
        <f aca="false">SUMPRODUCT(($D$8:$D$47=REGIONS!$B$8)*($A$8:$A$47&lt;=$A35)*$L$8:$L$47)+SUMPRODUCT(($N$8:$N$47=REGIONS!$B$8)*($A$8:$A$47&lt;=$A35)*$V$8:$V$47)</f>
        <v>0</v>
      </c>
      <c r="AS35" s="11" t="n">
        <f aca="false">SUMPRODUCT(($D$8:$D$47=REGIONS!$B$9)*($A$8:$A$47&lt;=$A35)*$L$8:$L$47)+SUMPRODUCT(($N$8:$N$47=REGIONS!$B$9)*($A$8:$A$47&lt;=$A35)*$V$8:$V$47)</f>
        <v>0</v>
      </c>
      <c r="AT35" s="11" t="n">
        <f aca="false">SUMPRODUCT(($D$8:$D$47=REGIONS!$B$10)*($A$8:$A$47&lt;=$A35)*$L$8:$L$47)+SUMPRODUCT(($N$8:$N$47=REGIONS!$B$10)*($A$8:$A$47&lt;=$A35)*$V$8:$V$47)</f>
        <v>0</v>
      </c>
      <c r="AU35" s="11" t="n">
        <f aca="false">SUMPRODUCT(($D$8:$D$47=REGIONS!$B$11)*($A$8:$A$47&lt;=$A35)*$L$8:$L$47)+SUMPRODUCT(($N$8:$N$47=REGIONS!$B$11)*($A$8:$A$47&lt;=$A35)*$V$8:$V$47)</f>
        <v>0</v>
      </c>
      <c r="AV35" s="11" t="n">
        <f aca="false">SUMPRODUCT(($D$8:$D$47=REGIONS!$B$12)*($A$8:$A$47&lt;=$A35)*$L$8:$L$47)+SUMPRODUCT(($N$8:$N$47=REGIONS!$B$12)*($A$8:$A$47&lt;=$A35)*$V$8:$V$47)</f>
        <v>0</v>
      </c>
      <c r="AW35" s="11" t="n">
        <f aca="false">SUMPRODUCT(($D$8:$D$47=REGIONS!$B$13)*($A$8:$A$47&lt;=$A35)*$L$8:$L$47)+SUMPRODUCT(($N$8:$N$47=REGIONS!$B$13)*($A$8:$A$47&lt;=$A35)*$V$8:$V$47)</f>
        <v>0</v>
      </c>
      <c r="AX35" s="11" t="n">
        <f aca="false">SUMPRODUCT(($D$8:$D$47=REGIONS!$B$14)*($A$8:$A$47&lt;=$A35)*$L$8:$L$47)+SUMPRODUCT(($N$8:$N$47=REGIONS!$B$14)*($A$8:$A$47&lt;=$A35)*$V$8:$V$47)</f>
        <v>0</v>
      </c>
      <c r="AY35" s="12" t="n">
        <f aca="false">MAX(0,MIN(135,100-(MAX(0,-$AA35)*REGIONS!$E$7*ASSUMPTIONS!$B$7+MAX(0,$AA35-ASSUMPTIONS!$B$9)*REGIONS!$E$7*ASSUMPTIONS!$B$8)*(1-$AQ35/100)))</f>
        <v>100</v>
      </c>
      <c r="AZ35" s="12" t="n">
        <f aca="false">MAX(0,MIN(135,100-(MAX(0,-$AB35)*REGIONS!$E$8*ASSUMPTIONS!$B$7+MAX(0,$AB35-ASSUMPTIONS!$B$9)*REGIONS!$E$8*ASSUMPTIONS!$B$8)*(1-$AR35/100)))</f>
        <v>100</v>
      </c>
      <c r="BA35" s="12" t="n">
        <f aca="false">MAX(0,MIN(135,100-(MAX(0,-$AC35)*REGIONS!$E$9*ASSUMPTIONS!$B$7+MAX(0,$AC35-ASSUMPTIONS!$B$9)*REGIONS!$E$9*ASSUMPTIONS!$B$8)*(1-$AS35/100)))</f>
        <v>100</v>
      </c>
      <c r="BB35" s="12" t="n">
        <f aca="false">MAX(0,MIN(135,100-(MAX(0,-$AD35)*REGIONS!$E$10*ASSUMPTIONS!$B$7+MAX(0,$AD35-ASSUMPTIONS!$B$9)*REGIONS!$E$10*ASSUMPTIONS!$B$8)*(1-$AT35/100)))</f>
        <v>94.52656</v>
      </c>
      <c r="BC35" s="12" t="n">
        <f aca="false">MAX(0,MIN(135,100-(MAX(0,-$AE35)*REGIONS!$E$11*ASSUMPTIONS!$B$7+MAX(0,$AE35-ASSUMPTIONS!$B$9)*REGIONS!$E$11*ASSUMPTIONS!$B$8)*(1-$AU35/100)))</f>
        <v>91.33134</v>
      </c>
      <c r="BD35" s="12" t="n">
        <f aca="false">MAX(0,MIN(135,100-(MAX(0,-$AF35)*REGIONS!$E$12*ASSUMPTIONS!$B$7+MAX(0,$AF35-ASSUMPTIONS!$B$9)*REGIONS!$E$12*ASSUMPTIONS!$B$8)*(1-$AV35/100)))</f>
        <v>80.37494</v>
      </c>
      <c r="BE35" s="12" t="n">
        <f aca="false">MAX(0,MIN(135,100-(MAX(0,-$AG35)*REGIONS!$E$13*ASSUMPTIONS!$B$7+MAX(0,$AG35-ASSUMPTIONS!$B$9)*REGIONS!$E$13*ASSUMPTIONS!$B$8)*(1-$AW35/100)))</f>
        <v>95.12156</v>
      </c>
      <c r="BF35" s="12" t="n">
        <f aca="false">MAX(0,MIN(135,100-(MAX(0,-$AH35)*REGIONS!$E$14*ASSUMPTIONS!$B$7+MAX(0,$AH35-ASSUMPTIONS!$B$9)*REGIONS!$E$14*ASSUMPTIONS!$B$8)*(1-$AX35/100)))</f>
        <v>100</v>
      </c>
      <c r="BG35" s="12" t="n">
        <f aca="false">$AY35*REGIONS!$D$7/100+$AZ35*REGIONS!$D$8/100+$BA35*REGIONS!$D$9/100+$BB35*REGIONS!$D$10/100+$BC35*REGIONS!$D$11/100+$BD35*REGIONS!$D$12/100+$BE35*REGIONS!$D$13/100+$BF35*REGIONS!$D$14/100</f>
        <v>96.308081</v>
      </c>
      <c r="BH35" s="12" t="n">
        <f aca="false">100*(100/MAX(1,$BG35))^ASSUMPTIONS!$B$10</f>
        <v>107.00574306514</v>
      </c>
      <c r="BI35" s="12" t="n">
        <f aca="false">$AY35*$BH35/100*ASSUMPTIONS!$B$11</f>
        <v>90.9548816053691</v>
      </c>
      <c r="BJ35" s="28" t="n">
        <f aca="false">MAX(0,ABS($AA35)-$AI35*ASSUMPTIONS!$B$24)*REGIONS!$D$7/100+MAX(0,ABS($AB35)-$AJ35*ASSUMPTIONS!$B$24)*REGIONS!$D$8/100+MAX(0,ABS($AC35)-$AK35*ASSUMPTIONS!$B$24)*REGIONS!$D$9/100+MAX(0,ABS($AD35)-$AL35*ASSUMPTIONS!$B$24)*REGIONS!$D$10/100+MAX(0,ABS($AE35)-$AM35*ASSUMPTIONS!$B$24)*REGIONS!$D$11/100+MAX(0,ABS($AF35)-$AN35*ASSUMPTIONS!$B$24)*REGIONS!$D$12/100+MAX(0,ABS($AG35)-$AO35*ASSUMPTIONS!$B$24)*REGIONS!$D$13/100+MAX(0,ABS($AH35)-$AP35*ASSUMPTIONS!$B$24)*REGIONS!$D$14/100</f>
        <v>0.008029</v>
      </c>
      <c r="BK35" s="12" t="n">
        <f aca="false">MIN(ASSUMPTIONS!$B$14,ASSUMPTIONS!$B$12+$BJ35*ASSUMPTIONS!$B$13)</f>
        <v>28.337218</v>
      </c>
      <c r="BL35" s="11" t="n">
        <f aca="false">$H35+$R35</f>
        <v>0</v>
      </c>
      <c r="BM35" s="11" t="n">
        <f aca="false">PLAY!$H35</f>
        <v>0</v>
      </c>
      <c r="BN35" s="12" t="n">
        <f aca="false">$BI35*ASSUMPTIONS!$B$15+$BK35*ASSUMPTIONS!$B$16</f>
        <v>36.4180819926443</v>
      </c>
      <c r="BO35" s="12" t="n">
        <f aca="false">$BO34+$BN35-$BL35-$BM35-ASSUMPTIONS!$B$23</f>
        <v>246.697168179712</v>
      </c>
      <c r="BP35" s="12" t="n">
        <f aca="false">(SUMPRODUCT(($F$8:$F$34+$A$8:$A$34=$A35)*($C$8:$C$34&lt;&gt;"NONE")*$G$8:$G$34)+SUMPRODUCT(($P$8:$P$34+$A$8:$A$34=$A35)*($M$8:$M$34&lt;&gt;"NONE")*$Q$8:$Q$34))*(1+ASSUMPTIONS!$B$22*(MAX(0,ABS($AA35)/$AI35-1)+MAX(0,ABS($AB35)/$AJ35-1)+MAX(0,ABS($AC35)/$AK35-1)+MAX(0,ABS($AD35)/$AL35-1)+MAX(0,ABS($AE35)/$AM35-1)+MAX(0,ABS($AF35)/$AN35-1)+MAX(0,ABS($AG35)/$AO35-1)+MAX(0,ABS($AH35)/$AP35-1))/8)</f>
        <v>0</v>
      </c>
      <c r="BQ35" s="12" t="n">
        <f aca="false">MAX(0,$BQ34*(1-ASSUMPTIONS!$B$18)+$BP35-$BM35*ASSUMPTIONS!$B$17)</f>
        <v>0.730721520594643</v>
      </c>
    </row>
    <row r="36" customFormat="false" ht="15" hidden="false" customHeight="false" outlineLevel="0" collapsed="false">
      <c r="A36" s="13" t="n">
        <v>29</v>
      </c>
      <c r="B36" s="11" t="n">
        <f aca="false">CLIMATE!B36</f>
        <v>1953</v>
      </c>
      <c r="C36" s="13" t="str">
        <f aca="false">IFERROR(INDEX(CAPABILITIES!$B$7:$B$15,MATCH(PLAY!$D36,CAPABILITIES!$A$7:$A$15,0)),"NONE")</f>
        <v>NONE</v>
      </c>
      <c r="D36" s="13" t="n">
        <f aca="false">IFERROR(IF(INDEX(CAPABILITIES!$B$7:$B$15,MATCH(PLAY!$D36,CAPABILITIES!$A$7:$A$15,0))="DRIVER",INDEX(CAPABILITIES!$C$7:$C$15,MATCH(PLAY!$D36,CAPABILITIES!$A$7:$A$15,0)),PLAY!$E36),"")</f>
        <v>0</v>
      </c>
      <c r="E36" s="13" t="n">
        <f aca="false">IFERROR(INDEX(CAPABILITIES!$D$7:$D$15,MATCH(PLAY!$D36,CAPABILITIES!$A$7:$A$15,0))*IF(INDEX(CAPABILITIES!$K$7:$K$15,MATCH(PLAY!$D36,CAPABILITIES!$A$7:$A$15,0))="Y",IF(IFERROR(INDEX($AA35:$AH35,MATCH(PLAY!$E36,REGIONS!$B$7:$B$14,0)),0)&lt;ASSUMPTIONS!$B$20,1,ASSUMPTIONS!$B$21),1),0)</f>
        <v>0</v>
      </c>
      <c r="F36" s="13" t="n">
        <f aca="false">IFERROR(INDEX(CAPABILITIES!$E$7:$E$15,MATCH(PLAY!$D36,CAPABILITIES!$A$7:$A$15,0)),0)</f>
        <v>0</v>
      </c>
      <c r="G36" s="13" t="n">
        <f aca="false">IFERROR(INDEX(CAPABILITIES!$F$7:$F$15,MATCH(PLAY!$D36,CAPABILITIES!$A$7:$A$15,0)),0)</f>
        <v>0</v>
      </c>
      <c r="H36" s="13" t="n">
        <f aca="false">IFERROR(INDEX(CAPABILITIES!$G$7:$G$15,MATCH(PLAY!$D36,CAPABILITIES!$A$7:$A$15,0)),0)</f>
        <v>0</v>
      </c>
      <c r="I36" s="13" t="n">
        <f aca="false">IFERROR(INDEX(CAPABILITIES!$H$7:$H$15,MATCH(PLAY!$D36,CAPABILITIES!$A$7:$A$15,0)),"")</f>
        <v>0</v>
      </c>
      <c r="J36" s="13" t="n">
        <f aca="false">IFERROR(INDEX(CAPABILITIES!$D$7:$D$15,MATCH(PLAY!$D36,CAPABILITIES!$A$7:$A$15,0))*INDEX(CAPABILITIES!$I$7:$I$15,MATCH(PLAY!$D36,CAPABILITIES!$A$7:$A$15,0)),0)</f>
        <v>0</v>
      </c>
      <c r="K36" s="13" t="n">
        <f aca="false">IFERROR(INDEX(CAPABILITIES!$E$7:$E$15,MATCH(PLAY!$D36,CAPABILITIES!$A$7:$A$15,0))+INDEX(CAPABILITIES!$J$7:$J$15,MATCH(PLAY!$D36,CAPABILITIES!$A$7:$A$15,0)),0)</f>
        <v>0</v>
      </c>
      <c r="L36" s="13" t="n">
        <f aca="false">IFERROR(INDEX(CAPABILITIES!$L$7:$L$15,MATCH(PLAY!$D36,CAPABILITIES!$A$7:$A$15,0)),0)</f>
        <v>0</v>
      </c>
      <c r="M36" s="13" t="str">
        <f aca="false">IFERROR(INDEX(CAPABILITIES!$B$7:$B$15,MATCH(PLAY!$F36,CAPABILITIES!$A$7:$A$15,0)),"NONE")</f>
        <v>NONE</v>
      </c>
      <c r="N36" s="13" t="n">
        <f aca="false">IFERROR(IF(INDEX(CAPABILITIES!$B$7:$B$15,MATCH(PLAY!$F36,CAPABILITIES!$A$7:$A$15,0))="DRIVER",INDEX(CAPABILITIES!$C$7:$C$15,MATCH(PLAY!$F36,CAPABILITIES!$A$7:$A$15,0)),PLAY!$G36),"")</f>
        <v>0</v>
      </c>
      <c r="O36" s="13" t="n">
        <f aca="false">IFERROR(INDEX(CAPABILITIES!$D$7:$D$15,MATCH(PLAY!$F36,CAPABILITIES!$A$7:$A$15,0))*IF(INDEX(CAPABILITIES!$K$7:$K$15,MATCH(PLAY!$F36,CAPABILITIES!$A$7:$A$15,0))="Y",IF(IFERROR(INDEX($AA35:$AH35,MATCH(PLAY!$G36,REGIONS!$B$7:$B$14,0)),0)&lt;ASSUMPTIONS!$B$20,1,ASSUMPTIONS!$B$21),1),0)</f>
        <v>0</v>
      </c>
      <c r="P36" s="13" t="n">
        <f aca="false">IFERROR(INDEX(CAPABILITIES!$E$7:$E$15,MATCH(PLAY!$F36,CAPABILITIES!$A$7:$A$15,0)),0)</f>
        <v>0</v>
      </c>
      <c r="Q36" s="13" t="n">
        <f aca="false">IFERROR(INDEX(CAPABILITIES!$F$7:$F$15,MATCH(PLAY!$F36,CAPABILITIES!$A$7:$A$15,0)),0)</f>
        <v>0</v>
      </c>
      <c r="R36" s="13" t="n">
        <f aca="false">IFERROR(INDEX(CAPABILITIES!$G$7:$G$15,MATCH(PLAY!$F36,CAPABILITIES!$A$7:$A$15,0)),0)</f>
        <v>0</v>
      </c>
      <c r="S36" s="13" t="n">
        <f aca="false">IFERROR(INDEX(CAPABILITIES!$H$7:$H$15,MATCH(PLAY!$F36,CAPABILITIES!$A$7:$A$15,0)),"")</f>
        <v>0</v>
      </c>
      <c r="T36" s="13" t="n">
        <f aca="false">IFERROR(INDEX(CAPABILITIES!$D$7:$D$15,MATCH(PLAY!$F36,CAPABILITIES!$A$7:$A$15,0))*INDEX(CAPABILITIES!$I$7:$I$15,MATCH(PLAY!$F36,CAPABILITIES!$A$7:$A$15,0)),0)</f>
        <v>0</v>
      </c>
      <c r="U36" s="13" t="n">
        <f aca="false">IFERROR(INDEX(CAPABILITIES!$E$7:$E$15,MATCH(PLAY!$F36,CAPABILITIES!$A$7:$A$15,0))+INDEX(CAPABILITIES!$J$7:$J$15,MATCH(PLAY!$F36,CAPABILITIES!$A$7:$A$15,0)),0)</f>
        <v>0</v>
      </c>
      <c r="V36" s="13" t="n">
        <f aca="false">IFERROR(INDEX(CAPABILITIES!$L$7:$L$15,MATCH(PLAY!$F36,CAPABILITIES!$A$7:$A$15,0)),0)</f>
        <v>0</v>
      </c>
      <c r="W36" s="28" t="n">
        <f aca="false">CLIMATE!D36+SUMPRODUCT(($D$8:$D$35="ENSO")*($F$8:$F$35+$A$8:$A$35=$A36)*$E$8:$E$35)+SUMPRODUCT(($I$8:$I$35="ENSO")*($K$8:$K$35+$A$8:$A$35=$A36)*$J$8:$J$35)+SUMPRODUCT(($N$8:$N$35="ENSO")*($P$8:$P$35+$A$8:$A$35=$A36)*$O$8:$O$35)+SUMPRODUCT(($S$8:$S$35="ENSO")*($U$8:$U$35+$A$8:$A$35=$A36)*$T$8:$T$35)</f>
        <v>0.547</v>
      </c>
      <c r="X36" s="28" t="n">
        <f aca="false">CLIMATE!E36+SUMPRODUCT(($D$8:$D$35="IOD")*($F$8:$F$35+$A$8:$A$35=$A36)*$E$8:$E$35)+SUMPRODUCT(($I$8:$I$35="IOD")*($K$8:$K$35+$A$8:$A$35=$A36)*$J$8:$J$35)+SUMPRODUCT(($N$8:$N$35="IOD")*($P$8:$P$35+$A$8:$A$35=$A36)*$O$8:$O$35)+SUMPRODUCT(($S$8:$S$35="IOD")*($U$8:$U$35+$A$8:$A$35=$A36)*$T$8:$T$35)</f>
        <v>-0.384</v>
      </c>
      <c r="Y36" s="28" t="n">
        <f aca="false">CLIMATE!F36+SUMPRODUCT(($D$8:$D$35="NATL")*($F$8:$F$35+$A$8:$A$35=$A36)*$E$8:$E$35)+SUMPRODUCT(($I$8:$I$35="NATL")*($K$8:$K$35+$A$8:$A$35=$A36)*$J$8:$J$35)+SUMPRODUCT(($N$8:$N$35="NATL")*($P$8:$P$35+$A$8:$A$35=$A36)*$O$8:$O$35)+SUMPRODUCT(($S$8:$S$35="NATL")*($U$8:$U$35+$A$8:$A$35=$A36)*$T$8:$T$35)</f>
        <v>0.552</v>
      </c>
      <c r="Z36" s="28" t="n">
        <f aca="false">CLIMATE!G36+SUMPRODUCT(($D$8:$D$35="GLOBAL")*($F$8:$F$35+$A$8:$A$35=$A36)*$E$8:$E$35)+SUMPRODUCT(($I$8:$I$35="GLOBAL")*($K$8:$K$35+$A$8:$A$35=$A36)*$J$8:$J$35)+SUMPRODUCT(($N$8:$N$35="GLOBAL")*($P$8:$P$35+$A$8:$A$35=$A36)*$O$8:$O$35)+SUMPRODUCT(($S$8:$S$35="GLOBAL")*($U$8:$U$35+$A$8:$A$35=$A36)*$T$8:$T$35)</f>
        <v>0</v>
      </c>
      <c r="AA36" s="28" t="n">
        <f aca="false">CLIMATE!H36+IFERROR(INDEX($W$8:$W$47,$A36-GRAPH!B17),0)*GRAPH!B9+IFERROR(INDEX($X$8:$X$47,$A36-GRAPH!B18),0)*GRAPH!B10+IFERROR(INDEX($Y$8:$Y$47,$A36-GRAPH!B19),0)*GRAPH!B11+IFERROR(INDEX($Z$8:$Z$47,$A36-GRAPH!B20),0)*GRAPH!B12+SUMPRODUCT(($D$8:$D$35=REGIONS!$B$7)*($F$8:$F$35+$A$8:$A$35=$A36)*$E$8:$E$35)+SUMPRODUCT(($N$8:$N$35=REGIONS!$B$7)*($P$8:$P$35+$A$8:$A$35=$A36)*$O$8:$O$35)</f>
        <v>0.024</v>
      </c>
      <c r="AB36" s="28" t="n">
        <f aca="false">CLIMATE!I36+IFERROR(INDEX($W$8:$W$47,$A36-GRAPH!C17),0)*GRAPH!C9+IFERROR(INDEX($X$8:$X$47,$A36-GRAPH!C18),0)*GRAPH!C10+IFERROR(INDEX($Y$8:$Y$47,$A36-GRAPH!C19),0)*GRAPH!C11+IFERROR(INDEX($Z$8:$Z$47,$A36-GRAPH!C20),0)*GRAPH!C12+SUMPRODUCT(($D$8:$D$35=REGIONS!$B$8)*($F$8:$F$35+$A$8:$A$35=$A36)*$E$8:$E$35)+SUMPRODUCT(($N$8:$N$35=REGIONS!$B$8)*($P$8:$P$35+$A$8:$A$35=$A36)*$O$8:$O$35)</f>
        <v>-0.3198</v>
      </c>
      <c r="AC36" s="28" t="n">
        <f aca="false">CLIMATE!J36+IFERROR(INDEX($W$8:$W$47,$A36-GRAPH!D17),0)*GRAPH!D9+IFERROR(INDEX($X$8:$X$47,$A36-GRAPH!D18),0)*GRAPH!D10+IFERROR(INDEX($Y$8:$Y$47,$A36-GRAPH!D19),0)*GRAPH!D11+IFERROR(INDEX($Z$8:$Z$47,$A36-GRAPH!D20),0)*GRAPH!D12+SUMPRODUCT(($D$8:$D$35=REGIONS!$B$9)*($F$8:$F$35+$A$8:$A$35=$A36)*$E$8:$E$35)+SUMPRODUCT(($N$8:$N$35=REGIONS!$B$9)*($P$8:$P$35+$A$8:$A$35=$A36)*$O$8:$O$35)</f>
        <v>0.5725</v>
      </c>
      <c r="AD36" s="28" t="n">
        <f aca="false">CLIMATE!K36+IFERROR(INDEX($W$8:$W$47,$A36-GRAPH!E17),0)*GRAPH!E9+IFERROR(INDEX($X$8:$X$47,$A36-GRAPH!E18),0)*GRAPH!E10+IFERROR(INDEX($Y$8:$Y$47,$A36-GRAPH!E19),0)*GRAPH!E11+IFERROR(INDEX($Z$8:$Z$47,$A36-GRAPH!E20),0)*GRAPH!E12+SUMPRODUCT(($D$8:$D$35=REGIONS!$B$10)*($F$8:$F$35+$A$8:$A$35=$A36)*$E$8:$E$35)+SUMPRODUCT(($N$8:$N$35=REGIONS!$B$10)*($P$8:$P$35+$A$8:$A$35=$A36)*$O$8:$O$35)</f>
        <v>0.0401</v>
      </c>
      <c r="AE36" s="28" t="n">
        <f aca="false">CLIMATE!L36+IFERROR(INDEX($W$8:$W$47,$A36-GRAPH!F17),0)*GRAPH!F9+IFERROR(INDEX($X$8:$X$47,$A36-GRAPH!F18),0)*GRAPH!F10+IFERROR(INDEX($Y$8:$Y$47,$A36-GRAPH!F19),0)*GRAPH!F11+IFERROR(INDEX($Z$8:$Z$47,$A36-GRAPH!F20),0)*GRAPH!F12+SUMPRODUCT(($D$8:$D$35=REGIONS!$B$11)*($F$8:$F$35+$A$8:$A$35=$A36)*$E$8:$E$35)+SUMPRODUCT(($N$8:$N$35=REGIONS!$B$11)*($P$8:$P$35+$A$8:$A$35=$A36)*$O$8:$O$35)</f>
        <v>-0.428</v>
      </c>
      <c r="AF36" s="28" t="n">
        <f aca="false">CLIMATE!M36+IFERROR(INDEX($W$8:$W$47,$A36-GRAPH!G17),0)*GRAPH!G9+IFERROR(INDEX($X$8:$X$47,$A36-GRAPH!G18),0)*GRAPH!G10+IFERROR(INDEX($Y$8:$Y$47,$A36-GRAPH!G19),0)*GRAPH!G11+IFERROR(INDEX($Z$8:$Z$47,$A36-GRAPH!G20),0)*GRAPH!G12+SUMPRODUCT(($D$8:$D$35=REGIONS!$B$12)*($F$8:$F$35+$A$8:$A$35=$A36)*$E$8:$E$35)+SUMPRODUCT(($N$8:$N$35=REGIONS!$B$12)*($P$8:$P$35+$A$8:$A$35=$A36)*$O$8:$O$35)</f>
        <v>-0.255</v>
      </c>
      <c r="AG36" s="28" t="n">
        <f aca="false">CLIMATE!N36+IFERROR(INDEX($W$8:$W$47,$A36-GRAPH!H17),0)*GRAPH!H9+IFERROR(INDEX($X$8:$X$47,$A36-GRAPH!H18),0)*GRAPH!H10+IFERROR(INDEX($Y$8:$Y$47,$A36-GRAPH!H19),0)*GRAPH!H11+IFERROR(INDEX($Z$8:$Z$47,$A36-GRAPH!H20),0)*GRAPH!H12+SUMPRODUCT(($D$8:$D$35=REGIONS!$B$13)*($F$8:$F$35+$A$8:$A$35=$A36)*$E$8:$E$35)+SUMPRODUCT(($N$8:$N$35=REGIONS!$B$13)*($P$8:$P$35+$A$8:$A$35=$A36)*$O$8:$O$35)</f>
        <v>-0.174</v>
      </c>
      <c r="AH36" s="28" t="n">
        <f aca="false">CLIMATE!O36+IFERROR(INDEX($W$8:$W$47,$A36-GRAPH!I17),0)*GRAPH!I9+IFERROR(INDEX($X$8:$X$47,$A36-GRAPH!I18),0)*GRAPH!I10+IFERROR(INDEX($Y$8:$Y$47,$A36-GRAPH!I19),0)*GRAPH!I11+IFERROR(INDEX($Z$8:$Z$47,$A36-GRAPH!I20),0)*GRAPH!I12+SUMPRODUCT(($D$8:$D$35=REGIONS!$B$14)*($F$8:$F$35+$A$8:$A$35=$A36)*$E$8:$E$35)+SUMPRODUCT(($N$8:$N$35=REGIONS!$B$14)*($P$8:$P$35+$A$8:$A$35=$A36)*$O$8:$O$35)</f>
        <v>0.3074</v>
      </c>
      <c r="AI36" s="28" t="n">
        <f aca="false">REGIONS!$F$7*(1+ASSUMPTIONS!$B$19*$A36)</f>
        <v>0.9392</v>
      </c>
      <c r="AJ36" s="28" t="n">
        <f aca="false">REGIONS!$F$8*(1+ASSUMPTIONS!$B$19*$A36)</f>
        <v>1.0566</v>
      </c>
      <c r="AK36" s="28" t="n">
        <f aca="false">REGIONS!$F$9*(1+ASSUMPTIONS!$B$19*$A36)</f>
        <v>1.0566</v>
      </c>
      <c r="AL36" s="28" t="n">
        <f aca="false">REGIONS!$F$10*(1+ASSUMPTIONS!$B$19*$A36)</f>
        <v>0.8218</v>
      </c>
      <c r="AM36" s="28" t="n">
        <f aca="false">REGIONS!$F$11*(1+ASSUMPTIONS!$B$19*$A36)</f>
        <v>0.8218</v>
      </c>
      <c r="AN36" s="28" t="n">
        <f aca="false">REGIONS!$F$12*(1+ASSUMPTIONS!$B$19*$A36)</f>
        <v>1.2914</v>
      </c>
      <c r="AO36" s="28" t="n">
        <f aca="false">REGIONS!$F$13*(1+ASSUMPTIONS!$B$19*$A36)</f>
        <v>1.4088</v>
      </c>
      <c r="AP36" s="28" t="n">
        <f aca="false">REGIONS!$F$14*(1+ASSUMPTIONS!$B$19*$A36)</f>
        <v>1.4088</v>
      </c>
      <c r="AQ36" s="11" t="n">
        <f aca="false">SUMPRODUCT(($D$8:$D$47=REGIONS!$B$7)*($A$8:$A$47&lt;=$A36)*$L$8:$L$47)+SUMPRODUCT(($N$8:$N$47=REGIONS!$B$7)*($A$8:$A$47&lt;=$A36)*$V$8:$V$47)</f>
        <v>0</v>
      </c>
      <c r="AR36" s="11" t="n">
        <f aca="false">SUMPRODUCT(($D$8:$D$47=REGIONS!$B$8)*($A$8:$A$47&lt;=$A36)*$L$8:$L$47)+SUMPRODUCT(($N$8:$N$47=REGIONS!$B$8)*($A$8:$A$47&lt;=$A36)*$V$8:$V$47)</f>
        <v>0</v>
      </c>
      <c r="AS36" s="11" t="n">
        <f aca="false">SUMPRODUCT(($D$8:$D$47=REGIONS!$B$9)*($A$8:$A$47&lt;=$A36)*$L$8:$L$47)+SUMPRODUCT(($N$8:$N$47=REGIONS!$B$9)*($A$8:$A$47&lt;=$A36)*$V$8:$V$47)</f>
        <v>0</v>
      </c>
      <c r="AT36" s="11" t="n">
        <f aca="false">SUMPRODUCT(($D$8:$D$47=REGIONS!$B$10)*($A$8:$A$47&lt;=$A36)*$L$8:$L$47)+SUMPRODUCT(($N$8:$N$47=REGIONS!$B$10)*($A$8:$A$47&lt;=$A36)*$V$8:$V$47)</f>
        <v>0</v>
      </c>
      <c r="AU36" s="11" t="n">
        <f aca="false">SUMPRODUCT(($D$8:$D$47=REGIONS!$B$11)*($A$8:$A$47&lt;=$A36)*$L$8:$L$47)+SUMPRODUCT(($N$8:$N$47=REGIONS!$B$11)*($A$8:$A$47&lt;=$A36)*$V$8:$V$47)</f>
        <v>0</v>
      </c>
      <c r="AV36" s="11" t="n">
        <f aca="false">SUMPRODUCT(($D$8:$D$47=REGIONS!$B$12)*($A$8:$A$47&lt;=$A36)*$L$8:$L$47)+SUMPRODUCT(($N$8:$N$47=REGIONS!$B$12)*($A$8:$A$47&lt;=$A36)*$V$8:$V$47)</f>
        <v>0</v>
      </c>
      <c r="AW36" s="11" t="n">
        <f aca="false">SUMPRODUCT(($D$8:$D$47=REGIONS!$B$13)*($A$8:$A$47&lt;=$A36)*$L$8:$L$47)+SUMPRODUCT(($N$8:$N$47=REGIONS!$B$13)*($A$8:$A$47&lt;=$A36)*$V$8:$V$47)</f>
        <v>0</v>
      </c>
      <c r="AX36" s="11" t="n">
        <f aca="false">SUMPRODUCT(($D$8:$D$47=REGIONS!$B$14)*($A$8:$A$47&lt;=$A36)*$L$8:$L$47)+SUMPRODUCT(($N$8:$N$47=REGIONS!$B$14)*($A$8:$A$47&lt;=$A36)*$V$8:$V$47)</f>
        <v>0</v>
      </c>
      <c r="AY36" s="12" t="n">
        <f aca="false">MAX(0,MIN(135,100-(MAX(0,-$AA36)*REGIONS!$E$7*ASSUMPTIONS!$B$7+MAX(0,$AA36-ASSUMPTIONS!$B$9)*REGIONS!$E$7*ASSUMPTIONS!$B$8)*(1-$AQ36/100)))</f>
        <v>100</v>
      </c>
      <c r="AZ36" s="12" t="n">
        <f aca="false">MAX(0,MIN(135,100-(MAX(0,-$AB36)*REGIONS!$E$8*ASSUMPTIONS!$B$7+MAX(0,$AB36-ASSUMPTIONS!$B$9)*REGIONS!$E$8*ASSUMPTIONS!$B$8)*(1-$AR36/100)))</f>
        <v>95.07508</v>
      </c>
      <c r="BA36" s="12" t="n">
        <f aca="false">MAX(0,MIN(135,100-(MAX(0,-$AC36)*REGIONS!$E$9*ASSUMPTIONS!$B$7+MAX(0,$AC36-ASSUMPTIONS!$B$9)*REGIONS!$E$9*ASSUMPTIONS!$B$8)*(1-$AS36/100)))</f>
        <v>100</v>
      </c>
      <c r="BB36" s="12" t="n">
        <f aca="false">MAX(0,MIN(135,100-(MAX(0,-$AD36)*REGIONS!$E$10*ASSUMPTIONS!$B$7+MAX(0,$AD36-ASSUMPTIONS!$B$9)*REGIONS!$E$10*ASSUMPTIONS!$B$8)*(1-$AT36/100)))</f>
        <v>100</v>
      </c>
      <c r="BC36" s="12" t="n">
        <f aca="false">MAX(0,MIN(135,100-(MAX(0,-$AE36)*REGIONS!$E$11*ASSUMPTIONS!$B$7+MAX(0,$AE36-ASSUMPTIONS!$B$9)*REGIONS!$E$11*ASSUMPTIONS!$B$8)*(1-$AU36/100)))</f>
        <v>93.4088</v>
      </c>
      <c r="BD36" s="12" t="n">
        <f aca="false">MAX(0,MIN(135,100-(MAX(0,-$AF36)*REGIONS!$E$12*ASSUMPTIONS!$B$7+MAX(0,$AF36-ASSUMPTIONS!$B$9)*REGIONS!$E$12*ASSUMPTIONS!$B$8)*(1-$AV36/100)))</f>
        <v>95.359</v>
      </c>
      <c r="BE36" s="12" t="n">
        <f aca="false">MAX(0,MIN(135,100-(MAX(0,-$AG36)*REGIONS!$E$13*ASSUMPTIONS!$B$7+MAX(0,$AG36-ASSUMPTIONS!$B$9)*REGIONS!$E$13*ASSUMPTIONS!$B$8)*(1-$AW36/100)))</f>
        <v>96.5896</v>
      </c>
      <c r="BF36" s="12" t="n">
        <f aca="false">MAX(0,MIN(135,100-(MAX(0,-$AH36)*REGIONS!$E$14*ASSUMPTIONS!$B$7+MAX(0,$AH36-ASSUMPTIONS!$B$9)*REGIONS!$E$14*ASSUMPTIONS!$B$8)*(1-$AX36/100)))</f>
        <v>100</v>
      </c>
      <c r="BG36" s="12" t="n">
        <f aca="false">$AY36*REGIONS!$D$7/100+$AZ36*REGIONS!$D$8/100+$BA36*REGIONS!$D$9/100+$BB36*REGIONS!$D$10/100+$BC36*REGIONS!$D$11/100+$BD36*REGIONS!$D$12/100+$BE36*REGIONS!$D$13/100+$BF36*REGIONS!$D$14/100</f>
        <v>97.8915748</v>
      </c>
      <c r="BH36" s="12" t="n">
        <f aca="false">100*(100/MAX(1,$BG36))^ASSUMPTIONS!$B$10</f>
        <v>103.910260299225</v>
      </c>
      <c r="BI36" s="12" t="n">
        <f aca="false">$AY36*$BH36/100*ASSUMPTIONS!$B$11</f>
        <v>88.3237212543408</v>
      </c>
      <c r="BJ36" s="28" t="n">
        <f aca="false">MAX(0,ABS($AA36)-$AI36*ASSUMPTIONS!$B$24)*REGIONS!$D$7/100+MAX(0,ABS($AB36)-$AJ36*ASSUMPTIONS!$B$24)*REGIONS!$D$8/100+MAX(0,ABS($AC36)-$AK36*ASSUMPTIONS!$B$24)*REGIONS!$D$9/100+MAX(0,ABS($AD36)-$AL36*ASSUMPTIONS!$B$24)*REGIONS!$D$10/100+MAX(0,ABS($AE36)-$AM36*ASSUMPTIONS!$B$24)*REGIONS!$D$11/100+MAX(0,ABS($AF36)-$AN36*ASSUMPTIONS!$B$24)*REGIONS!$D$12/100+MAX(0,ABS($AG36)-$AO36*ASSUMPTIONS!$B$24)*REGIONS!$D$13/100+MAX(0,ABS($AH36)-$AP36*ASSUMPTIONS!$B$24)*REGIONS!$D$14/100</f>
        <v>0</v>
      </c>
      <c r="BK36" s="12" t="n">
        <f aca="false">MIN(ASSUMPTIONS!$B$14,ASSUMPTIONS!$B$12+$BJ36*ASSUMPTIONS!$B$13)</f>
        <v>28</v>
      </c>
      <c r="BL36" s="11" t="n">
        <f aca="false">$H36+$R36</f>
        <v>0</v>
      </c>
      <c r="BM36" s="11" t="n">
        <f aca="false">PLAY!$H36</f>
        <v>0</v>
      </c>
      <c r="BN36" s="12" t="n">
        <f aca="false">$BI36*ASSUMPTIONS!$B$15+$BK36*ASSUMPTIONS!$B$16</f>
        <v>35.7988465505209</v>
      </c>
      <c r="BO36" s="12" t="n">
        <f aca="false">$BO35+$BN36-$BL36-$BM36-ASSUMPTIONS!$B$23</f>
        <v>250.496014730233</v>
      </c>
      <c r="BP36" s="12" t="n">
        <f aca="false">(SUMPRODUCT(($F$8:$F$35+$A$8:$A$35=$A36)*($C$8:$C$35&lt;&gt;"NONE")*$G$8:$G$35)+SUMPRODUCT(($P$8:$P$35+$A$8:$A$35=$A36)*($M$8:$M$35&lt;&gt;"NONE")*$Q$8:$Q$35))*(1+ASSUMPTIONS!$B$22*(MAX(0,ABS($AA36)/$AI36-1)+MAX(0,ABS($AB36)/$AJ36-1)+MAX(0,ABS($AC36)/$AK36-1)+MAX(0,ABS($AD36)/$AL36-1)+MAX(0,ABS($AE36)/$AM36-1)+MAX(0,ABS($AF36)/$AN36-1)+MAX(0,ABS($AG36)/$AO36-1)+MAX(0,ABS($AH36)/$AP36-1))/8)</f>
        <v>0</v>
      </c>
      <c r="BQ36" s="12" t="n">
        <f aca="false">MAX(0,$BQ35*(1-ASSUMPTIONS!$B$18)+$BP36-$BM36*ASSUMPTIONS!$B$17)</f>
        <v>0.701492659770858</v>
      </c>
    </row>
    <row r="37" customFormat="false" ht="15" hidden="false" customHeight="false" outlineLevel="0" collapsed="false">
      <c r="A37" s="13" t="n">
        <v>30</v>
      </c>
      <c r="B37" s="11" t="n">
        <f aca="false">CLIMATE!B37</f>
        <v>1953</v>
      </c>
      <c r="C37" s="13" t="str">
        <f aca="false">IFERROR(INDEX(CAPABILITIES!$B$7:$B$15,MATCH(PLAY!$D37,CAPABILITIES!$A$7:$A$15,0)),"NONE")</f>
        <v>NONE</v>
      </c>
      <c r="D37" s="13" t="n">
        <f aca="false">IFERROR(IF(INDEX(CAPABILITIES!$B$7:$B$15,MATCH(PLAY!$D37,CAPABILITIES!$A$7:$A$15,0))="DRIVER",INDEX(CAPABILITIES!$C$7:$C$15,MATCH(PLAY!$D37,CAPABILITIES!$A$7:$A$15,0)),PLAY!$E37),"")</f>
        <v>0</v>
      </c>
      <c r="E37" s="13" t="n">
        <f aca="false">IFERROR(INDEX(CAPABILITIES!$D$7:$D$15,MATCH(PLAY!$D37,CAPABILITIES!$A$7:$A$15,0))*IF(INDEX(CAPABILITIES!$K$7:$K$15,MATCH(PLAY!$D37,CAPABILITIES!$A$7:$A$15,0))="Y",IF(IFERROR(INDEX($AA36:$AH36,MATCH(PLAY!$E37,REGIONS!$B$7:$B$14,0)),0)&lt;ASSUMPTIONS!$B$20,1,ASSUMPTIONS!$B$21),1),0)</f>
        <v>0</v>
      </c>
      <c r="F37" s="13" t="n">
        <f aca="false">IFERROR(INDEX(CAPABILITIES!$E$7:$E$15,MATCH(PLAY!$D37,CAPABILITIES!$A$7:$A$15,0)),0)</f>
        <v>0</v>
      </c>
      <c r="G37" s="13" t="n">
        <f aca="false">IFERROR(INDEX(CAPABILITIES!$F$7:$F$15,MATCH(PLAY!$D37,CAPABILITIES!$A$7:$A$15,0)),0)</f>
        <v>0</v>
      </c>
      <c r="H37" s="13" t="n">
        <f aca="false">IFERROR(INDEX(CAPABILITIES!$G$7:$G$15,MATCH(PLAY!$D37,CAPABILITIES!$A$7:$A$15,0)),0)</f>
        <v>0</v>
      </c>
      <c r="I37" s="13" t="n">
        <f aca="false">IFERROR(INDEX(CAPABILITIES!$H$7:$H$15,MATCH(PLAY!$D37,CAPABILITIES!$A$7:$A$15,0)),"")</f>
        <v>0</v>
      </c>
      <c r="J37" s="13" t="n">
        <f aca="false">IFERROR(INDEX(CAPABILITIES!$D$7:$D$15,MATCH(PLAY!$D37,CAPABILITIES!$A$7:$A$15,0))*INDEX(CAPABILITIES!$I$7:$I$15,MATCH(PLAY!$D37,CAPABILITIES!$A$7:$A$15,0)),0)</f>
        <v>0</v>
      </c>
      <c r="K37" s="13" t="n">
        <f aca="false">IFERROR(INDEX(CAPABILITIES!$E$7:$E$15,MATCH(PLAY!$D37,CAPABILITIES!$A$7:$A$15,0))+INDEX(CAPABILITIES!$J$7:$J$15,MATCH(PLAY!$D37,CAPABILITIES!$A$7:$A$15,0)),0)</f>
        <v>0</v>
      </c>
      <c r="L37" s="13" t="n">
        <f aca="false">IFERROR(INDEX(CAPABILITIES!$L$7:$L$15,MATCH(PLAY!$D37,CAPABILITIES!$A$7:$A$15,0)),0)</f>
        <v>0</v>
      </c>
      <c r="M37" s="13" t="str">
        <f aca="false">IFERROR(INDEX(CAPABILITIES!$B$7:$B$15,MATCH(PLAY!$F37,CAPABILITIES!$A$7:$A$15,0)),"NONE")</f>
        <v>NONE</v>
      </c>
      <c r="N37" s="13" t="n">
        <f aca="false">IFERROR(IF(INDEX(CAPABILITIES!$B$7:$B$15,MATCH(PLAY!$F37,CAPABILITIES!$A$7:$A$15,0))="DRIVER",INDEX(CAPABILITIES!$C$7:$C$15,MATCH(PLAY!$F37,CAPABILITIES!$A$7:$A$15,0)),PLAY!$G37),"")</f>
        <v>0</v>
      </c>
      <c r="O37" s="13" t="n">
        <f aca="false">IFERROR(INDEX(CAPABILITIES!$D$7:$D$15,MATCH(PLAY!$F37,CAPABILITIES!$A$7:$A$15,0))*IF(INDEX(CAPABILITIES!$K$7:$K$15,MATCH(PLAY!$F37,CAPABILITIES!$A$7:$A$15,0))="Y",IF(IFERROR(INDEX($AA36:$AH36,MATCH(PLAY!$G37,REGIONS!$B$7:$B$14,0)),0)&lt;ASSUMPTIONS!$B$20,1,ASSUMPTIONS!$B$21),1),0)</f>
        <v>0</v>
      </c>
      <c r="P37" s="13" t="n">
        <f aca="false">IFERROR(INDEX(CAPABILITIES!$E$7:$E$15,MATCH(PLAY!$F37,CAPABILITIES!$A$7:$A$15,0)),0)</f>
        <v>0</v>
      </c>
      <c r="Q37" s="13" t="n">
        <f aca="false">IFERROR(INDEX(CAPABILITIES!$F$7:$F$15,MATCH(PLAY!$F37,CAPABILITIES!$A$7:$A$15,0)),0)</f>
        <v>0</v>
      </c>
      <c r="R37" s="13" t="n">
        <f aca="false">IFERROR(INDEX(CAPABILITIES!$G$7:$G$15,MATCH(PLAY!$F37,CAPABILITIES!$A$7:$A$15,0)),0)</f>
        <v>0</v>
      </c>
      <c r="S37" s="13" t="n">
        <f aca="false">IFERROR(INDEX(CAPABILITIES!$H$7:$H$15,MATCH(PLAY!$F37,CAPABILITIES!$A$7:$A$15,0)),"")</f>
        <v>0</v>
      </c>
      <c r="T37" s="13" t="n">
        <f aca="false">IFERROR(INDEX(CAPABILITIES!$D$7:$D$15,MATCH(PLAY!$F37,CAPABILITIES!$A$7:$A$15,0))*INDEX(CAPABILITIES!$I$7:$I$15,MATCH(PLAY!$F37,CAPABILITIES!$A$7:$A$15,0)),0)</f>
        <v>0</v>
      </c>
      <c r="U37" s="13" t="n">
        <f aca="false">IFERROR(INDEX(CAPABILITIES!$E$7:$E$15,MATCH(PLAY!$F37,CAPABILITIES!$A$7:$A$15,0))+INDEX(CAPABILITIES!$J$7:$J$15,MATCH(PLAY!$F37,CAPABILITIES!$A$7:$A$15,0)),0)</f>
        <v>0</v>
      </c>
      <c r="V37" s="13" t="n">
        <f aca="false">IFERROR(INDEX(CAPABILITIES!$L$7:$L$15,MATCH(PLAY!$F37,CAPABILITIES!$A$7:$A$15,0)),0)</f>
        <v>0</v>
      </c>
      <c r="W37" s="28" t="n">
        <f aca="false">CLIMATE!D37+SUMPRODUCT(($D$8:$D$36="ENSO")*($F$8:$F$36+$A$8:$A$36=$A37)*$E$8:$E$36)+SUMPRODUCT(($I$8:$I$36="ENSO")*($K$8:$K$36+$A$8:$A$36=$A37)*$J$8:$J$36)+SUMPRODUCT(($N$8:$N$36="ENSO")*($P$8:$P$36+$A$8:$A$36=$A37)*$O$8:$O$36)+SUMPRODUCT(($S$8:$S$36="ENSO")*($U$8:$U$36+$A$8:$A$36=$A37)*$T$8:$T$36)</f>
        <v>1.004</v>
      </c>
      <c r="X37" s="28" t="n">
        <f aca="false">CLIMATE!E37+SUMPRODUCT(($D$8:$D$36="IOD")*($F$8:$F$36+$A$8:$A$36=$A37)*$E$8:$E$36)+SUMPRODUCT(($I$8:$I$36="IOD")*($K$8:$K$36+$A$8:$A$36=$A37)*$J$8:$J$36)+SUMPRODUCT(($N$8:$N$36="IOD")*($P$8:$P$36+$A$8:$A$36=$A37)*$O$8:$O$36)+SUMPRODUCT(($S$8:$S$36="IOD")*($U$8:$U$36+$A$8:$A$36=$A37)*$T$8:$T$36)</f>
        <v>-0.15</v>
      </c>
      <c r="Y37" s="28" t="n">
        <f aca="false">CLIMATE!F37+SUMPRODUCT(($D$8:$D$36="NATL")*($F$8:$F$36+$A$8:$A$36=$A37)*$E$8:$E$36)+SUMPRODUCT(($I$8:$I$36="NATL")*($K$8:$K$36+$A$8:$A$36=$A37)*$J$8:$J$36)+SUMPRODUCT(($N$8:$N$36="NATL")*($P$8:$P$36+$A$8:$A$36=$A37)*$O$8:$O$36)+SUMPRODUCT(($S$8:$S$36="NATL")*($U$8:$U$36+$A$8:$A$36=$A37)*$T$8:$T$36)</f>
        <v>0.446</v>
      </c>
      <c r="Z37" s="28" t="n">
        <f aca="false">CLIMATE!G37+SUMPRODUCT(($D$8:$D$36="GLOBAL")*($F$8:$F$36+$A$8:$A$36=$A37)*$E$8:$E$36)+SUMPRODUCT(($I$8:$I$36="GLOBAL")*($K$8:$K$36+$A$8:$A$36=$A37)*$J$8:$J$36)+SUMPRODUCT(($N$8:$N$36="GLOBAL")*($P$8:$P$36+$A$8:$A$36=$A37)*$O$8:$O$36)+SUMPRODUCT(($S$8:$S$36="GLOBAL")*($U$8:$U$36+$A$8:$A$36=$A37)*$T$8:$T$36)</f>
        <v>0</v>
      </c>
      <c r="AA37" s="28" t="n">
        <f aca="false">CLIMATE!H37+IFERROR(INDEX($W$8:$W$47,$A37-GRAPH!B17),0)*GRAPH!B9+IFERROR(INDEX($X$8:$X$47,$A37-GRAPH!B18),0)*GRAPH!B10+IFERROR(INDEX($Y$8:$Y$47,$A37-GRAPH!B19),0)*GRAPH!B11+IFERROR(INDEX($Z$8:$Z$47,$A37-GRAPH!B20),0)*GRAPH!B12+SUMPRODUCT(($D$8:$D$36=REGIONS!$B$7)*($F$8:$F$36+$A$8:$A$36=$A37)*$E$8:$E$36)+SUMPRODUCT(($N$8:$N$36=REGIONS!$B$7)*($P$8:$P$36+$A$8:$A$36=$A37)*$O$8:$O$36)</f>
        <v>-0.0055</v>
      </c>
      <c r="AB37" s="28" t="n">
        <f aca="false">CLIMATE!I37+IFERROR(INDEX($W$8:$W$47,$A37-GRAPH!C17),0)*GRAPH!C9+IFERROR(INDEX($X$8:$X$47,$A37-GRAPH!C18),0)*GRAPH!C10+IFERROR(INDEX($Y$8:$Y$47,$A37-GRAPH!C19),0)*GRAPH!C11+IFERROR(INDEX($Z$8:$Z$47,$A37-GRAPH!C20),0)*GRAPH!C12+SUMPRODUCT(($D$8:$D$36=REGIONS!$B$8)*($F$8:$F$36+$A$8:$A$36=$A37)*$E$8:$E$36)+SUMPRODUCT(($N$8:$N$36=REGIONS!$B$8)*($P$8:$P$36+$A$8:$A$36=$A37)*$O$8:$O$36)</f>
        <v>-0.2703</v>
      </c>
      <c r="AC37" s="28" t="n">
        <f aca="false">CLIMATE!J37+IFERROR(INDEX($W$8:$W$47,$A37-GRAPH!D17),0)*GRAPH!D9+IFERROR(INDEX($X$8:$X$47,$A37-GRAPH!D18),0)*GRAPH!D10+IFERROR(INDEX($Y$8:$Y$47,$A37-GRAPH!D19),0)*GRAPH!D11+IFERROR(INDEX($Z$8:$Z$47,$A37-GRAPH!D20),0)*GRAPH!D12+SUMPRODUCT(($D$8:$D$36=REGIONS!$B$9)*($F$8:$F$36+$A$8:$A$36=$A37)*$E$8:$E$36)+SUMPRODUCT(($N$8:$N$36=REGIONS!$B$9)*($P$8:$P$36+$A$8:$A$36=$A37)*$O$8:$O$36)</f>
        <v>0.374</v>
      </c>
      <c r="AD37" s="28" t="n">
        <f aca="false">CLIMATE!K37+IFERROR(INDEX($W$8:$W$47,$A37-GRAPH!E17),0)*GRAPH!E9+IFERROR(INDEX($X$8:$X$47,$A37-GRAPH!E18),0)*GRAPH!E10+IFERROR(INDEX($Y$8:$Y$47,$A37-GRAPH!E19),0)*GRAPH!E11+IFERROR(INDEX($Z$8:$Z$47,$A37-GRAPH!E20),0)*GRAPH!E12+SUMPRODUCT(($D$8:$D$36=REGIONS!$B$10)*($F$8:$F$36+$A$8:$A$36=$A37)*$E$8:$E$36)+SUMPRODUCT(($N$8:$N$36=REGIONS!$B$10)*($P$8:$P$36+$A$8:$A$36=$A37)*$O$8:$O$36)</f>
        <v>-0.2867</v>
      </c>
      <c r="AE37" s="28" t="n">
        <f aca="false">CLIMATE!L37+IFERROR(INDEX($W$8:$W$47,$A37-GRAPH!F17),0)*GRAPH!F9+IFERROR(INDEX($X$8:$X$47,$A37-GRAPH!F18),0)*GRAPH!F10+IFERROR(INDEX($Y$8:$Y$47,$A37-GRAPH!F19),0)*GRAPH!F11+IFERROR(INDEX($Z$8:$Z$47,$A37-GRAPH!F20),0)*GRAPH!F12+SUMPRODUCT(($D$8:$D$36=REGIONS!$B$11)*($F$8:$F$36+$A$8:$A$36=$A37)*$E$8:$E$36)+SUMPRODUCT(($N$8:$N$36=REGIONS!$B$11)*($P$8:$P$36+$A$8:$A$36=$A37)*$O$8:$O$36)</f>
        <v>-0.2031</v>
      </c>
      <c r="AF37" s="28" t="n">
        <f aca="false">CLIMATE!M37+IFERROR(INDEX($W$8:$W$47,$A37-GRAPH!G17),0)*GRAPH!G9+IFERROR(INDEX($X$8:$X$47,$A37-GRAPH!G18),0)*GRAPH!G10+IFERROR(INDEX($Y$8:$Y$47,$A37-GRAPH!G19),0)*GRAPH!G11+IFERROR(INDEX($Z$8:$Z$47,$A37-GRAPH!G20),0)*GRAPH!G12+SUMPRODUCT(($D$8:$D$36=REGIONS!$B$12)*($F$8:$F$36+$A$8:$A$36=$A37)*$E$8:$E$36)+SUMPRODUCT(($N$8:$N$36=REGIONS!$B$12)*($P$8:$P$36+$A$8:$A$36=$A37)*$O$8:$O$36)</f>
        <v>-0.6419</v>
      </c>
      <c r="AG37" s="28" t="n">
        <f aca="false">CLIMATE!N37+IFERROR(INDEX($W$8:$W$47,$A37-GRAPH!H17),0)*GRAPH!H9+IFERROR(INDEX($X$8:$X$47,$A37-GRAPH!H18),0)*GRAPH!H10+IFERROR(INDEX($Y$8:$Y$47,$A37-GRAPH!H19),0)*GRAPH!H11+IFERROR(INDEX($Z$8:$Z$47,$A37-GRAPH!H20),0)*GRAPH!H12+SUMPRODUCT(($D$8:$D$36=REGIONS!$B$13)*($F$8:$F$36+$A$8:$A$36=$A37)*$E$8:$E$36)+SUMPRODUCT(($N$8:$N$36=REGIONS!$B$13)*($P$8:$P$36+$A$8:$A$36=$A37)*$O$8:$O$36)</f>
        <v>-0.252</v>
      </c>
      <c r="AH37" s="28" t="n">
        <f aca="false">CLIMATE!O37+IFERROR(INDEX($W$8:$W$47,$A37-GRAPH!I17),0)*GRAPH!I9+IFERROR(INDEX($X$8:$X$47,$A37-GRAPH!I18),0)*GRAPH!I10+IFERROR(INDEX($Y$8:$Y$47,$A37-GRAPH!I19),0)*GRAPH!I11+IFERROR(INDEX($Z$8:$Z$47,$A37-GRAPH!I20),0)*GRAPH!I12+SUMPRODUCT(($D$8:$D$36=REGIONS!$B$14)*($F$8:$F$36+$A$8:$A$36=$A37)*$E$8:$E$36)+SUMPRODUCT(($N$8:$N$36=REGIONS!$B$14)*($P$8:$P$36+$A$8:$A$36=$A37)*$O$8:$O$36)</f>
        <v>-0.0636</v>
      </c>
      <c r="AI37" s="28" t="n">
        <f aca="false">REGIONS!$F$7*(1+ASSUMPTIONS!$B$19*$A37)</f>
        <v>0.944</v>
      </c>
      <c r="AJ37" s="28" t="n">
        <f aca="false">REGIONS!$F$8*(1+ASSUMPTIONS!$B$19*$A37)</f>
        <v>1.062</v>
      </c>
      <c r="AK37" s="28" t="n">
        <f aca="false">REGIONS!$F$9*(1+ASSUMPTIONS!$B$19*$A37)</f>
        <v>1.062</v>
      </c>
      <c r="AL37" s="28" t="n">
        <f aca="false">REGIONS!$F$10*(1+ASSUMPTIONS!$B$19*$A37)</f>
        <v>0.826</v>
      </c>
      <c r="AM37" s="28" t="n">
        <f aca="false">REGIONS!$F$11*(1+ASSUMPTIONS!$B$19*$A37)</f>
        <v>0.826</v>
      </c>
      <c r="AN37" s="28" t="n">
        <f aca="false">REGIONS!$F$12*(1+ASSUMPTIONS!$B$19*$A37)</f>
        <v>1.298</v>
      </c>
      <c r="AO37" s="28" t="n">
        <f aca="false">REGIONS!$F$13*(1+ASSUMPTIONS!$B$19*$A37)</f>
        <v>1.416</v>
      </c>
      <c r="AP37" s="28" t="n">
        <f aca="false">REGIONS!$F$14*(1+ASSUMPTIONS!$B$19*$A37)</f>
        <v>1.416</v>
      </c>
      <c r="AQ37" s="11" t="n">
        <f aca="false">SUMPRODUCT(($D$8:$D$47=REGIONS!$B$7)*($A$8:$A$47&lt;=$A37)*$L$8:$L$47)+SUMPRODUCT(($N$8:$N$47=REGIONS!$B$7)*($A$8:$A$47&lt;=$A37)*$V$8:$V$47)</f>
        <v>0</v>
      </c>
      <c r="AR37" s="11" t="n">
        <f aca="false">SUMPRODUCT(($D$8:$D$47=REGIONS!$B$8)*($A$8:$A$47&lt;=$A37)*$L$8:$L$47)+SUMPRODUCT(($N$8:$N$47=REGIONS!$B$8)*($A$8:$A$47&lt;=$A37)*$V$8:$V$47)</f>
        <v>0</v>
      </c>
      <c r="AS37" s="11" t="n">
        <f aca="false">SUMPRODUCT(($D$8:$D$47=REGIONS!$B$9)*($A$8:$A$47&lt;=$A37)*$L$8:$L$47)+SUMPRODUCT(($N$8:$N$47=REGIONS!$B$9)*($A$8:$A$47&lt;=$A37)*$V$8:$V$47)</f>
        <v>0</v>
      </c>
      <c r="AT37" s="11" t="n">
        <f aca="false">SUMPRODUCT(($D$8:$D$47=REGIONS!$B$10)*($A$8:$A$47&lt;=$A37)*$L$8:$L$47)+SUMPRODUCT(($N$8:$N$47=REGIONS!$B$10)*($A$8:$A$47&lt;=$A37)*$V$8:$V$47)</f>
        <v>0</v>
      </c>
      <c r="AU37" s="11" t="n">
        <f aca="false">SUMPRODUCT(($D$8:$D$47=REGIONS!$B$11)*($A$8:$A$47&lt;=$A37)*$L$8:$L$47)+SUMPRODUCT(($N$8:$N$47=REGIONS!$B$11)*($A$8:$A$47&lt;=$A37)*$V$8:$V$47)</f>
        <v>0</v>
      </c>
      <c r="AV37" s="11" t="n">
        <f aca="false">SUMPRODUCT(($D$8:$D$47=REGIONS!$B$12)*($A$8:$A$47&lt;=$A37)*$L$8:$L$47)+SUMPRODUCT(($N$8:$N$47=REGIONS!$B$12)*($A$8:$A$47&lt;=$A37)*$V$8:$V$47)</f>
        <v>0</v>
      </c>
      <c r="AW37" s="11" t="n">
        <f aca="false">SUMPRODUCT(($D$8:$D$47=REGIONS!$B$13)*($A$8:$A$47&lt;=$A37)*$L$8:$L$47)+SUMPRODUCT(($N$8:$N$47=REGIONS!$B$13)*($A$8:$A$47&lt;=$A37)*$V$8:$V$47)</f>
        <v>0</v>
      </c>
      <c r="AX37" s="11" t="n">
        <f aca="false">SUMPRODUCT(($D$8:$D$47=REGIONS!$B$14)*($A$8:$A$47&lt;=$A37)*$L$8:$L$47)+SUMPRODUCT(($N$8:$N$47=REGIONS!$B$14)*($A$8:$A$47&lt;=$A37)*$V$8:$V$47)</f>
        <v>0</v>
      </c>
      <c r="AY37" s="12" t="n">
        <f aca="false">MAX(0,MIN(135,100-(MAX(0,-$AA37)*REGIONS!$E$7*ASSUMPTIONS!$B$7+MAX(0,$AA37-ASSUMPTIONS!$B$9)*REGIONS!$E$7*ASSUMPTIONS!$B$8)*(1-$AQ37/100)))</f>
        <v>99.923</v>
      </c>
      <c r="AZ37" s="12" t="n">
        <f aca="false">MAX(0,MIN(135,100-(MAX(0,-$AB37)*REGIONS!$E$8*ASSUMPTIONS!$B$7+MAX(0,$AB37-ASSUMPTIONS!$B$9)*REGIONS!$E$8*ASSUMPTIONS!$B$8)*(1-$AR37/100)))</f>
        <v>95.83738</v>
      </c>
      <c r="BA37" s="12" t="n">
        <f aca="false">MAX(0,MIN(135,100-(MAX(0,-$AC37)*REGIONS!$E$9*ASSUMPTIONS!$B$7+MAX(0,$AC37-ASSUMPTIONS!$B$9)*REGIONS!$E$9*ASSUMPTIONS!$B$8)*(1-$AS37/100)))</f>
        <v>100</v>
      </c>
      <c r="BB37" s="12" t="n">
        <f aca="false">MAX(0,MIN(135,100-(MAX(0,-$AD37)*REGIONS!$E$10*ASSUMPTIONS!$B$7+MAX(0,$AD37-ASSUMPTIONS!$B$9)*REGIONS!$E$10*ASSUMPTIONS!$B$8)*(1-$AT37/100)))</f>
        <v>95.18344</v>
      </c>
      <c r="BC37" s="12" t="n">
        <f aca="false">MAX(0,MIN(135,100-(MAX(0,-$AE37)*REGIONS!$E$11*ASSUMPTIONS!$B$7+MAX(0,$AE37-ASSUMPTIONS!$B$9)*REGIONS!$E$11*ASSUMPTIONS!$B$8)*(1-$AU37/100)))</f>
        <v>96.87226</v>
      </c>
      <c r="BD37" s="12" t="n">
        <f aca="false">MAX(0,MIN(135,100-(MAX(0,-$AF37)*REGIONS!$E$12*ASSUMPTIONS!$B$7+MAX(0,$AF37-ASSUMPTIONS!$B$9)*REGIONS!$E$12*ASSUMPTIONS!$B$8)*(1-$AV37/100)))</f>
        <v>88.31742</v>
      </c>
      <c r="BE37" s="12" t="n">
        <f aca="false">MAX(0,MIN(135,100-(MAX(0,-$AG37)*REGIONS!$E$13*ASSUMPTIONS!$B$7+MAX(0,$AG37-ASSUMPTIONS!$B$9)*REGIONS!$E$13*ASSUMPTIONS!$B$8)*(1-$AW37/100)))</f>
        <v>95.0608</v>
      </c>
      <c r="BF37" s="12" t="n">
        <f aca="false">MAX(0,MIN(135,100-(MAX(0,-$AH37)*REGIONS!$E$14*ASSUMPTIONS!$B$7+MAX(0,$AH37-ASSUMPTIONS!$B$9)*REGIONS!$E$14*ASSUMPTIONS!$B$8)*(1-$AX37/100)))</f>
        <v>98.75344</v>
      </c>
      <c r="BG37" s="12" t="n">
        <f aca="false">$AY37*REGIONS!$D$7/100+$AZ37*REGIONS!$D$8/100+$BA37*REGIONS!$D$9/100+$BB37*REGIONS!$D$10/100+$BC37*REGIONS!$D$11/100+$BD37*REGIONS!$D$12/100+$BE37*REGIONS!$D$13/100+$BF37*REGIONS!$D$14/100</f>
        <v>96.887345</v>
      </c>
      <c r="BH37" s="12" t="n">
        <f aca="false">100*(100/MAX(1,$BG37))^ASSUMPTIONS!$B$10</f>
        <v>105.856931488468</v>
      </c>
      <c r="BI37" s="12" t="n">
        <f aca="false">$AY37*$BH37/100*ASSUMPTIONS!$B$11</f>
        <v>89.9091084035387</v>
      </c>
      <c r="BJ37" s="28" t="n">
        <f aca="false">MAX(0,ABS($AA37)-$AI37*ASSUMPTIONS!$B$24)*REGIONS!$D$7/100+MAX(0,ABS($AB37)-$AJ37*ASSUMPTIONS!$B$24)*REGIONS!$D$8/100+MAX(0,ABS($AC37)-$AK37*ASSUMPTIONS!$B$24)*REGIONS!$D$9/100+MAX(0,ABS($AD37)-$AL37*ASSUMPTIONS!$B$24)*REGIONS!$D$10/100+MAX(0,ABS($AE37)-$AM37*ASSUMPTIONS!$B$24)*REGIONS!$D$11/100+MAX(0,ABS($AF37)-$AN37*ASSUMPTIONS!$B$24)*REGIONS!$D$12/100+MAX(0,ABS($AG37)-$AO37*ASSUMPTIONS!$B$24)*REGIONS!$D$13/100+MAX(0,ABS($AH37)-$AP37*ASSUMPTIONS!$B$24)*REGIONS!$D$14/100</f>
        <v>0</v>
      </c>
      <c r="BK37" s="12" t="n">
        <f aca="false">MIN(ASSUMPTIONS!$B$14,ASSUMPTIONS!$B$12+$BJ37*ASSUMPTIONS!$B$13)</f>
        <v>28</v>
      </c>
      <c r="BL37" s="11" t="n">
        <f aca="false">$H37+$R37</f>
        <v>0</v>
      </c>
      <c r="BM37" s="11" t="n">
        <f aca="false">PLAY!$H37</f>
        <v>0</v>
      </c>
      <c r="BN37" s="12" t="n">
        <f aca="false">$BI37*ASSUMPTIONS!$B$15+$BK37*ASSUMPTIONS!$B$16</f>
        <v>35.9890930084246</v>
      </c>
      <c r="BO37" s="12" t="n">
        <f aca="false">$BO36+$BN37-$BL37-$BM37-ASSUMPTIONS!$B$23</f>
        <v>254.485107738658</v>
      </c>
      <c r="BP37" s="12" t="n">
        <f aca="false">(SUMPRODUCT(($F$8:$F$36+$A$8:$A$36=$A37)*($C$8:$C$36&lt;&gt;"NONE")*$G$8:$G$36)+SUMPRODUCT(($P$8:$P$36+$A$8:$A$36=$A37)*($M$8:$M$36&lt;&gt;"NONE")*$Q$8:$Q$36))*(1+ASSUMPTIONS!$B$22*(MAX(0,ABS($AA37)/$AI37-1)+MAX(0,ABS($AB37)/$AJ37-1)+MAX(0,ABS($AC37)/$AK37-1)+MAX(0,ABS($AD37)/$AL37-1)+MAX(0,ABS($AE37)/$AM37-1)+MAX(0,ABS($AF37)/$AN37-1)+MAX(0,ABS($AG37)/$AO37-1)+MAX(0,ABS($AH37)/$AP37-1))/8)</f>
        <v>0</v>
      </c>
      <c r="BQ37" s="12" t="n">
        <f aca="false">MAX(0,$BQ36*(1-ASSUMPTIONS!$B$18)+$BP37-$BM37*ASSUMPTIONS!$B$17)</f>
        <v>0.673432953380023</v>
      </c>
    </row>
    <row r="38" customFormat="false" ht="15" hidden="false" customHeight="false" outlineLevel="0" collapsed="false">
      <c r="A38" s="13" t="n">
        <v>31</v>
      </c>
      <c r="B38" s="11" t="n">
        <f aca="false">CLIMATE!B38</f>
        <v>1953</v>
      </c>
      <c r="C38" s="13" t="str">
        <f aca="false">IFERROR(INDEX(CAPABILITIES!$B$7:$B$15,MATCH(PLAY!$D38,CAPABILITIES!$A$7:$A$15,0)),"NONE")</f>
        <v>NONE</v>
      </c>
      <c r="D38" s="13" t="n">
        <f aca="false">IFERROR(IF(INDEX(CAPABILITIES!$B$7:$B$15,MATCH(PLAY!$D38,CAPABILITIES!$A$7:$A$15,0))="DRIVER",INDEX(CAPABILITIES!$C$7:$C$15,MATCH(PLAY!$D38,CAPABILITIES!$A$7:$A$15,0)),PLAY!$E38),"")</f>
        <v>0</v>
      </c>
      <c r="E38" s="13" t="n">
        <f aca="false">IFERROR(INDEX(CAPABILITIES!$D$7:$D$15,MATCH(PLAY!$D38,CAPABILITIES!$A$7:$A$15,0))*IF(INDEX(CAPABILITIES!$K$7:$K$15,MATCH(PLAY!$D38,CAPABILITIES!$A$7:$A$15,0))="Y",IF(IFERROR(INDEX($AA37:$AH37,MATCH(PLAY!$E38,REGIONS!$B$7:$B$14,0)),0)&lt;ASSUMPTIONS!$B$20,1,ASSUMPTIONS!$B$21),1),0)</f>
        <v>0</v>
      </c>
      <c r="F38" s="13" t="n">
        <f aca="false">IFERROR(INDEX(CAPABILITIES!$E$7:$E$15,MATCH(PLAY!$D38,CAPABILITIES!$A$7:$A$15,0)),0)</f>
        <v>0</v>
      </c>
      <c r="G38" s="13" t="n">
        <f aca="false">IFERROR(INDEX(CAPABILITIES!$F$7:$F$15,MATCH(PLAY!$D38,CAPABILITIES!$A$7:$A$15,0)),0)</f>
        <v>0</v>
      </c>
      <c r="H38" s="13" t="n">
        <f aca="false">IFERROR(INDEX(CAPABILITIES!$G$7:$G$15,MATCH(PLAY!$D38,CAPABILITIES!$A$7:$A$15,0)),0)</f>
        <v>0</v>
      </c>
      <c r="I38" s="13" t="n">
        <f aca="false">IFERROR(INDEX(CAPABILITIES!$H$7:$H$15,MATCH(PLAY!$D38,CAPABILITIES!$A$7:$A$15,0)),"")</f>
        <v>0</v>
      </c>
      <c r="J38" s="13" t="n">
        <f aca="false">IFERROR(INDEX(CAPABILITIES!$D$7:$D$15,MATCH(PLAY!$D38,CAPABILITIES!$A$7:$A$15,0))*INDEX(CAPABILITIES!$I$7:$I$15,MATCH(PLAY!$D38,CAPABILITIES!$A$7:$A$15,0)),0)</f>
        <v>0</v>
      </c>
      <c r="K38" s="13" t="n">
        <f aca="false">IFERROR(INDEX(CAPABILITIES!$E$7:$E$15,MATCH(PLAY!$D38,CAPABILITIES!$A$7:$A$15,0))+INDEX(CAPABILITIES!$J$7:$J$15,MATCH(PLAY!$D38,CAPABILITIES!$A$7:$A$15,0)),0)</f>
        <v>0</v>
      </c>
      <c r="L38" s="13" t="n">
        <f aca="false">IFERROR(INDEX(CAPABILITIES!$L$7:$L$15,MATCH(PLAY!$D38,CAPABILITIES!$A$7:$A$15,0)),0)</f>
        <v>0</v>
      </c>
      <c r="M38" s="13" t="str">
        <f aca="false">IFERROR(INDEX(CAPABILITIES!$B$7:$B$15,MATCH(PLAY!$F38,CAPABILITIES!$A$7:$A$15,0)),"NONE")</f>
        <v>NONE</v>
      </c>
      <c r="N38" s="13" t="n">
        <f aca="false">IFERROR(IF(INDEX(CAPABILITIES!$B$7:$B$15,MATCH(PLAY!$F38,CAPABILITIES!$A$7:$A$15,0))="DRIVER",INDEX(CAPABILITIES!$C$7:$C$15,MATCH(PLAY!$F38,CAPABILITIES!$A$7:$A$15,0)),PLAY!$G38),"")</f>
        <v>0</v>
      </c>
      <c r="O38" s="13" t="n">
        <f aca="false">IFERROR(INDEX(CAPABILITIES!$D$7:$D$15,MATCH(PLAY!$F38,CAPABILITIES!$A$7:$A$15,0))*IF(INDEX(CAPABILITIES!$K$7:$K$15,MATCH(PLAY!$F38,CAPABILITIES!$A$7:$A$15,0))="Y",IF(IFERROR(INDEX($AA37:$AH37,MATCH(PLAY!$G38,REGIONS!$B$7:$B$14,0)),0)&lt;ASSUMPTIONS!$B$20,1,ASSUMPTIONS!$B$21),1),0)</f>
        <v>0</v>
      </c>
      <c r="P38" s="13" t="n">
        <f aca="false">IFERROR(INDEX(CAPABILITIES!$E$7:$E$15,MATCH(PLAY!$F38,CAPABILITIES!$A$7:$A$15,0)),0)</f>
        <v>0</v>
      </c>
      <c r="Q38" s="13" t="n">
        <f aca="false">IFERROR(INDEX(CAPABILITIES!$F$7:$F$15,MATCH(PLAY!$F38,CAPABILITIES!$A$7:$A$15,0)),0)</f>
        <v>0</v>
      </c>
      <c r="R38" s="13" t="n">
        <f aca="false">IFERROR(INDEX(CAPABILITIES!$G$7:$G$15,MATCH(PLAY!$F38,CAPABILITIES!$A$7:$A$15,0)),0)</f>
        <v>0</v>
      </c>
      <c r="S38" s="13" t="n">
        <f aca="false">IFERROR(INDEX(CAPABILITIES!$H$7:$H$15,MATCH(PLAY!$F38,CAPABILITIES!$A$7:$A$15,0)),"")</f>
        <v>0</v>
      </c>
      <c r="T38" s="13" t="n">
        <f aca="false">IFERROR(INDEX(CAPABILITIES!$D$7:$D$15,MATCH(PLAY!$F38,CAPABILITIES!$A$7:$A$15,0))*INDEX(CAPABILITIES!$I$7:$I$15,MATCH(PLAY!$F38,CAPABILITIES!$A$7:$A$15,0)),0)</f>
        <v>0</v>
      </c>
      <c r="U38" s="13" t="n">
        <f aca="false">IFERROR(INDEX(CAPABILITIES!$E$7:$E$15,MATCH(PLAY!$F38,CAPABILITIES!$A$7:$A$15,0))+INDEX(CAPABILITIES!$J$7:$J$15,MATCH(PLAY!$F38,CAPABILITIES!$A$7:$A$15,0)),0)</f>
        <v>0</v>
      </c>
      <c r="V38" s="13" t="n">
        <f aca="false">IFERROR(INDEX(CAPABILITIES!$L$7:$L$15,MATCH(PLAY!$F38,CAPABILITIES!$A$7:$A$15,0)),0)</f>
        <v>0</v>
      </c>
      <c r="W38" s="28" t="n">
        <f aca="false">CLIMATE!D38+SUMPRODUCT(($D$8:$D$37="ENSO")*($F$8:$F$37+$A$8:$A$37=$A38)*$E$8:$E$37)+SUMPRODUCT(($I$8:$I$37="ENSO")*($K$8:$K$37+$A$8:$A$37=$A38)*$J$8:$J$37)+SUMPRODUCT(($N$8:$N$37="ENSO")*($P$8:$P$37+$A$8:$A$37=$A38)*$O$8:$O$37)+SUMPRODUCT(($S$8:$S$37="ENSO")*($U$8:$U$37+$A$8:$A$37=$A38)*$T$8:$T$37)</f>
        <v>1.415</v>
      </c>
      <c r="X38" s="28" t="n">
        <f aca="false">CLIMATE!E38+SUMPRODUCT(($D$8:$D$37="IOD")*($F$8:$F$37+$A$8:$A$37=$A38)*$E$8:$E$37)+SUMPRODUCT(($I$8:$I$37="IOD")*($K$8:$K$37+$A$8:$A$37=$A38)*$J$8:$J$37)+SUMPRODUCT(($N$8:$N$37="IOD")*($P$8:$P$37+$A$8:$A$37=$A38)*$O$8:$O$37)+SUMPRODUCT(($S$8:$S$37="IOD")*($U$8:$U$37+$A$8:$A$37=$A38)*$T$8:$T$37)</f>
        <v>-0.731</v>
      </c>
      <c r="Y38" s="28" t="n">
        <f aca="false">CLIMATE!F38+SUMPRODUCT(($D$8:$D$37="NATL")*($F$8:$F$37+$A$8:$A$37=$A38)*$E$8:$E$37)+SUMPRODUCT(($I$8:$I$37="NATL")*($K$8:$K$37+$A$8:$A$37=$A38)*$J$8:$J$37)+SUMPRODUCT(($N$8:$N$37="NATL")*($P$8:$P$37+$A$8:$A$37=$A38)*$O$8:$O$37)+SUMPRODUCT(($S$8:$S$37="NATL")*($U$8:$U$37+$A$8:$A$37=$A38)*$T$8:$T$37)</f>
        <v>0.447</v>
      </c>
      <c r="Z38" s="28" t="n">
        <f aca="false">CLIMATE!G38+SUMPRODUCT(($D$8:$D$37="GLOBAL")*($F$8:$F$37+$A$8:$A$37=$A38)*$E$8:$E$37)+SUMPRODUCT(($I$8:$I$37="GLOBAL")*($K$8:$K$37+$A$8:$A$37=$A38)*$J$8:$J$37)+SUMPRODUCT(($N$8:$N$37="GLOBAL")*($P$8:$P$37+$A$8:$A$37=$A38)*$O$8:$O$37)+SUMPRODUCT(($S$8:$S$37="GLOBAL")*($U$8:$U$37+$A$8:$A$37=$A38)*$T$8:$T$37)</f>
        <v>0</v>
      </c>
      <c r="AA38" s="28" t="n">
        <f aca="false">CLIMATE!H38+IFERROR(INDEX($W$8:$W$47,$A38-GRAPH!B17),0)*GRAPH!B9+IFERROR(INDEX($X$8:$X$47,$A38-GRAPH!B18),0)*GRAPH!B10+IFERROR(INDEX($Y$8:$Y$47,$A38-GRAPH!B19),0)*GRAPH!B11+IFERROR(INDEX($Z$8:$Z$47,$A38-GRAPH!B20),0)*GRAPH!B12+SUMPRODUCT(($D$8:$D$37=REGIONS!$B$7)*($F$8:$F$37+$A$8:$A$37=$A38)*$E$8:$E$37)+SUMPRODUCT(($N$8:$N$37=REGIONS!$B$7)*($P$8:$P$37+$A$8:$A$37=$A38)*$O$8:$O$37)</f>
        <v>0.1648</v>
      </c>
      <c r="AB38" s="28" t="n">
        <f aca="false">CLIMATE!I38+IFERROR(INDEX($W$8:$W$47,$A38-GRAPH!C17),0)*GRAPH!C9+IFERROR(INDEX($X$8:$X$47,$A38-GRAPH!C18),0)*GRAPH!C10+IFERROR(INDEX($Y$8:$Y$47,$A38-GRAPH!C19),0)*GRAPH!C11+IFERROR(INDEX($Z$8:$Z$47,$A38-GRAPH!C20),0)*GRAPH!C12+SUMPRODUCT(($D$8:$D$37=REGIONS!$B$8)*($F$8:$F$37+$A$8:$A$37=$A38)*$E$8:$E$37)+SUMPRODUCT(($N$8:$N$37=REGIONS!$B$8)*($P$8:$P$37+$A$8:$A$37=$A38)*$O$8:$O$37)</f>
        <v>-0.383</v>
      </c>
      <c r="AC38" s="28" t="n">
        <f aca="false">CLIMATE!J38+IFERROR(INDEX($W$8:$W$47,$A38-GRAPH!D17),0)*GRAPH!D9+IFERROR(INDEX($X$8:$X$47,$A38-GRAPH!D18),0)*GRAPH!D10+IFERROR(INDEX($Y$8:$Y$47,$A38-GRAPH!D19),0)*GRAPH!D11+IFERROR(INDEX($Z$8:$Z$47,$A38-GRAPH!D20),0)*GRAPH!D12+SUMPRODUCT(($D$8:$D$37=REGIONS!$B$9)*($F$8:$F$37+$A$8:$A$37=$A38)*$E$8:$E$37)+SUMPRODUCT(($N$8:$N$37=REGIONS!$B$9)*($P$8:$P$37+$A$8:$A$37=$A38)*$O$8:$O$37)</f>
        <v>0.2735</v>
      </c>
      <c r="AD38" s="28" t="n">
        <f aca="false">CLIMATE!K38+IFERROR(INDEX($W$8:$W$47,$A38-GRAPH!E17),0)*GRAPH!E9+IFERROR(INDEX($X$8:$X$47,$A38-GRAPH!E18),0)*GRAPH!E10+IFERROR(INDEX($Y$8:$Y$47,$A38-GRAPH!E19),0)*GRAPH!E11+IFERROR(INDEX($Z$8:$Z$47,$A38-GRAPH!E20),0)*GRAPH!E12+SUMPRODUCT(($D$8:$D$37=REGIONS!$B$10)*($F$8:$F$37+$A$8:$A$37=$A38)*$E$8:$E$37)+SUMPRODUCT(($N$8:$N$37=REGIONS!$B$10)*($P$8:$P$37+$A$8:$A$37=$A38)*$O$8:$O$37)</f>
        <v>-0.3676</v>
      </c>
      <c r="AE38" s="28" t="n">
        <f aca="false">CLIMATE!L38+IFERROR(INDEX($W$8:$W$47,$A38-GRAPH!F17),0)*GRAPH!F9+IFERROR(INDEX($X$8:$X$47,$A38-GRAPH!F18),0)*GRAPH!F10+IFERROR(INDEX($Y$8:$Y$47,$A38-GRAPH!F19),0)*GRAPH!F11+IFERROR(INDEX($Z$8:$Z$47,$A38-GRAPH!F20),0)*GRAPH!F12+SUMPRODUCT(($D$8:$D$37=REGIONS!$B$11)*($F$8:$F$37+$A$8:$A$37=$A38)*$E$8:$E$37)+SUMPRODUCT(($N$8:$N$37=REGIONS!$B$11)*($P$8:$P$37+$A$8:$A$37=$A38)*$O$8:$O$37)</f>
        <v>-0.4098</v>
      </c>
      <c r="AF38" s="28" t="n">
        <f aca="false">CLIMATE!M38+IFERROR(INDEX($W$8:$W$47,$A38-GRAPH!G17),0)*GRAPH!G9+IFERROR(INDEX($X$8:$X$47,$A38-GRAPH!G18),0)*GRAPH!G10+IFERROR(INDEX($Y$8:$Y$47,$A38-GRAPH!G19),0)*GRAPH!G11+IFERROR(INDEX($Z$8:$Z$47,$A38-GRAPH!G20),0)*GRAPH!G12+SUMPRODUCT(($D$8:$D$37=REGIONS!$B$12)*($F$8:$F$37+$A$8:$A$37=$A38)*$E$8:$E$37)+SUMPRODUCT(($N$8:$N$37=REGIONS!$B$12)*($P$8:$P$37+$A$8:$A$37=$A38)*$O$8:$O$37)</f>
        <v>-0.9946</v>
      </c>
      <c r="AG38" s="28" t="n">
        <f aca="false">CLIMATE!N38+IFERROR(INDEX($W$8:$W$47,$A38-GRAPH!H17),0)*GRAPH!H9+IFERROR(INDEX($X$8:$X$47,$A38-GRAPH!H18),0)*GRAPH!H10+IFERROR(INDEX($Y$8:$Y$47,$A38-GRAPH!H19),0)*GRAPH!H11+IFERROR(INDEX($Z$8:$Z$47,$A38-GRAPH!H20),0)*GRAPH!H12+SUMPRODUCT(($D$8:$D$37=REGIONS!$B$13)*($F$8:$F$37+$A$8:$A$37=$A38)*$E$8:$E$37)+SUMPRODUCT(($N$8:$N$37=REGIONS!$B$13)*($P$8:$P$37+$A$8:$A$37=$A38)*$O$8:$O$37)</f>
        <v>0.1789</v>
      </c>
      <c r="AH38" s="28" t="n">
        <f aca="false">CLIMATE!O38+IFERROR(INDEX($W$8:$W$47,$A38-GRAPH!I17),0)*GRAPH!I9+IFERROR(INDEX($X$8:$X$47,$A38-GRAPH!I18),0)*GRAPH!I10+IFERROR(INDEX($Y$8:$Y$47,$A38-GRAPH!I19),0)*GRAPH!I11+IFERROR(INDEX($Z$8:$Z$47,$A38-GRAPH!I20),0)*GRAPH!I12+SUMPRODUCT(($D$8:$D$37=REGIONS!$B$14)*($F$8:$F$37+$A$8:$A$37=$A38)*$E$8:$E$37)+SUMPRODUCT(($N$8:$N$37=REGIONS!$B$14)*($P$8:$P$37+$A$8:$A$37=$A38)*$O$8:$O$37)</f>
        <v>0.0312</v>
      </c>
      <c r="AI38" s="28" t="n">
        <f aca="false">REGIONS!$F$7*(1+ASSUMPTIONS!$B$19*$A38)</f>
        <v>0.9488</v>
      </c>
      <c r="AJ38" s="28" t="n">
        <f aca="false">REGIONS!$F$8*(1+ASSUMPTIONS!$B$19*$A38)</f>
        <v>1.0674</v>
      </c>
      <c r="AK38" s="28" t="n">
        <f aca="false">REGIONS!$F$9*(1+ASSUMPTIONS!$B$19*$A38)</f>
        <v>1.0674</v>
      </c>
      <c r="AL38" s="28" t="n">
        <f aca="false">REGIONS!$F$10*(1+ASSUMPTIONS!$B$19*$A38)</f>
        <v>0.8302</v>
      </c>
      <c r="AM38" s="28" t="n">
        <f aca="false">REGIONS!$F$11*(1+ASSUMPTIONS!$B$19*$A38)</f>
        <v>0.8302</v>
      </c>
      <c r="AN38" s="28" t="n">
        <f aca="false">REGIONS!$F$12*(1+ASSUMPTIONS!$B$19*$A38)</f>
        <v>1.3046</v>
      </c>
      <c r="AO38" s="28" t="n">
        <f aca="false">REGIONS!$F$13*(1+ASSUMPTIONS!$B$19*$A38)</f>
        <v>1.4232</v>
      </c>
      <c r="AP38" s="28" t="n">
        <f aca="false">REGIONS!$F$14*(1+ASSUMPTIONS!$B$19*$A38)</f>
        <v>1.4232</v>
      </c>
      <c r="AQ38" s="11" t="n">
        <f aca="false">SUMPRODUCT(($D$8:$D$47=REGIONS!$B$7)*($A$8:$A$47&lt;=$A38)*$L$8:$L$47)+SUMPRODUCT(($N$8:$N$47=REGIONS!$B$7)*($A$8:$A$47&lt;=$A38)*$V$8:$V$47)</f>
        <v>0</v>
      </c>
      <c r="AR38" s="11" t="n">
        <f aca="false">SUMPRODUCT(($D$8:$D$47=REGIONS!$B$8)*($A$8:$A$47&lt;=$A38)*$L$8:$L$47)+SUMPRODUCT(($N$8:$N$47=REGIONS!$B$8)*($A$8:$A$47&lt;=$A38)*$V$8:$V$47)</f>
        <v>0</v>
      </c>
      <c r="AS38" s="11" t="n">
        <f aca="false">SUMPRODUCT(($D$8:$D$47=REGIONS!$B$9)*($A$8:$A$47&lt;=$A38)*$L$8:$L$47)+SUMPRODUCT(($N$8:$N$47=REGIONS!$B$9)*($A$8:$A$47&lt;=$A38)*$V$8:$V$47)</f>
        <v>0</v>
      </c>
      <c r="AT38" s="11" t="n">
        <f aca="false">SUMPRODUCT(($D$8:$D$47=REGIONS!$B$10)*($A$8:$A$47&lt;=$A38)*$L$8:$L$47)+SUMPRODUCT(($N$8:$N$47=REGIONS!$B$10)*($A$8:$A$47&lt;=$A38)*$V$8:$V$47)</f>
        <v>0</v>
      </c>
      <c r="AU38" s="11" t="n">
        <f aca="false">SUMPRODUCT(($D$8:$D$47=REGIONS!$B$11)*($A$8:$A$47&lt;=$A38)*$L$8:$L$47)+SUMPRODUCT(($N$8:$N$47=REGIONS!$B$11)*($A$8:$A$47&lt;=$A38)*$V$8:$V$47)</f>
        <v>0</v>
      </c>
      <c r="AV38" s="11" t="n">
        <f aca="false">SUMPRODUCT(($D$8:$D$47=REGIONS!$B$12)*($A$8:$A$47&lt;=$A38)*$L$8:$L$47)+SUMPRODUCT(($N$8:$N$47=REGIONS!$B$12)*($A$8:$A$47&lt;=$A38)*$V$8:$V$47)</f>
        <v>0</v>
      </c>
      <c r="AW38" s="11" t="n">
        <f aca="false">SUMPRODUCT(($D$8:$D$47=REGIONS!$B$13)*($A$8:$A$47&lt;=$A38)*$L$8:$L$47)+SUMPRODUCT(($N$8:$N$47=REGIONS!$B$13)*($A$8:$A$47&lt;=$A38)*$V$8:$V$47)</f>
        <v>0</v>
      </c>
      <c r="AX38" s="11" t="n">
        <f aca="false">SUMPRODUCT(($D$8:$D$47=REGIONS!$B$14)*($A$8:$A$47&lt;=$A38)*$L$8:$L$47)+SUMPRODUCT(($N$8:$N$47=REGIONS!$B$14)*($A$8:$A$47&lt;=$A38)*$V$8:$V$47)</f>
        <v>0</v>
      </c>
      <c r="AY38" s="12" t="n">
        <f aca="false">MAX(0,MIN(135,100-(MAX(0,-$AA38)*REGIONS!$E$7*ASSUMPTIONS!$B$7+MAX(0,$AA38-ASSUMPTIONS!$B$9)*REGIONS!$E$7*ASSUMPTIONS!$B$8)*(1-$AQ38/100)))</f>
        <v>100</v>
      </c>
      <c r="AZ38" s="12" t="n">
        <f aca="false">MAX(0,MIN(135,100-(MAX(0,-$AB38)*REGIONS!$E$8*ASSUMPTIONS!$B$7+MAX(0,$AB38-ASSUMPTIONS!$B$9)*REGIONS!$E$8*ASSUMPTIONS!$B$8)*(1-$AR38/100)))</f>
        <v>94.1018</v>
      </c>
      <c r="BA38" s="12" t="n">
        <f aca="false">MAX(0,MIN(135,100-(MAX(0,-$AC38)*REGIONS!$E$9*ASSUMPTIONS!$B$7+MAX(0,$AC38-ASSUMPTIONS!$B$9)*REGIONS!$E$9*ASSUMPTIONS!$B$8)*(1-$AS38/100)))</f>
        <v>100</v>
      </c>
      <c r="BB38" s="12" t="n">
        <f aca="false">MAX(0,MIN(135,100-(MAX(0,-$AD38)*REGIONS!$E$10*ASSUMPTIONS!$B$7+MAX(0,$AD38-ASSUMPTIONS!$B$9)*REGIONS!$E$10*ASSUMPTIONS!$B$8)*(1-$AT38/100)))</f>
        <v>93.82432</v>
      </c>
      <c r="BC38" s="12" t="n">
        <f aca="false">MAX(0,MIN(135,100-(MAX(0,-$AE38)*REGIONS!$E$11*ASSUMPTIONS!$B$7+MAX(0,$AE38-ASSUMPTIONS!$B$9)*REGIONS!$E$11*ASSUMPTIONS!$B$8)*(1-$AU38/100)))</f>
        <v>93.68908</v>
      </c>
      <c r="BD38" s="12" t="n">
        <f aca="false">MAX(0,MIN(135,100-(MAX(0,-$AF38)*REGIONS!$E$12*ASSUMPTIONS!$B$7+MAX(0,$AF38-ASSUMPTIONS!$B$9)*REGIONS!$E$12*ASSUMPTIONS!$B$8)*(1-$AV38/100)))</f>
        <v>81.89828</v>
      </c>
      <c r="BE38" s="12" t="n">
        <f aca="false">MAX(0,MIN(135,100-(MAX(0,-$AG38)*REGIONS!$E$13*ASSUMPTIONS!$B$7+MAX(0,$AG38-ASSUMPTIONS!$B$9)*REGIONS!$E$13*ASSUMPTIONS!$B$8)*(1-$AW38/100)))</f>
        <v>100</v>
      </c>
      <c r="BF38" s="12" t="n">
        <f aca="false">MAX(0,MIN(135,100-(MAX(0,-$AH38)*REGIONS!$E$14*ASSUMPTIONS!$B$7+MAX(0,$AH38-ASSUMPTIONS!$B$9)*REGIONS!$E$14*ASSUMPTIONS!$B$8)*(1-$AX38/100)))</f>
        <v>100</v>
      </c>
      <c r="BG38" s="12" t="n">
        <f aca="false">$AY38*REGIONS!$D$7/100+$AZ38*REGIONS!$D$8/100+$BA38*REGIONS!$D$9/100+$BB38*REGIONS!$D$10/100+$BC38*REGIONS!$D$11/100+$BD38*REGIONS!$D$12/100+$BE38*REGIONS!$D$13/100+$BF38*REGIONS!$D$14/100</f>
        <v>95.9202348</v>
      </c>
      <c r="BH38" s="12" t="n">
        <f aca="false">100*(100/MAX(1,$BG38))^ASSUMPTIONS!$B$10</f>
        <v>107.785807644673</v>
      </c>
      <c r="BI38" s="12" t="n">
        <f aca="false">$AY38*$BH38/100*ASSUMPTIONS!$B$11</f>
        <v>91.6179364979717</v>
      </c>
      <c r="BJ38" s="28" t="n">
        <f aca="false">MAX(0,ABS($AA38)-$AI38*ASSUMPTIONS!$B$24)*REGIONS!$D$7/100+MAX(0,ABS($AB38)-$AJ38*ASSUMPTIONS!$B$24)*REGIONS!$D$8/100+MAX(0,ABS($AC38)-$AK38*ASSUMPTIONS!$B$24)*REGIONS!$D$9/100+MAX(0,ABS($AD38)-$AL38*ASSUMPTIONS!$B$24)*REGIONS!$D$10/100+MAX(0,ABS($AE38)-$AM38*ASSUMPTIONS!$B$24)*REGIONS!$D$11/100+MAX(0,ABS($AF38)-$AN38*ASSUMPTIONS!$B$24)*REGIONS!$D$12/100+MAX(0,ABS($AG38)-$AO38*ASSUMPTIONS!$B$24)*REGIONS!$D$13/100+MAX(0,ABS($AH38)-$AP38*ASSUMPTIONS!$B$24)*REGIONS!$D$14/100</f>
        <v>0.0011305</v>
      </c>
      <c r="BK38" s="12" t="n">
        <f aca="false">MIN(ASSUMPTIONS!$B$14,ASSUMPTIONS!$B$12+$BJ38*ASSUMPTIONS!$B$13)</f>
        <v>28.047481</v>
      </c>
      <c r="BL38" s="11" t="n">
        <f aca="false">$H38+$R38</f>
        <v>0</v>
      </c>
      <c r="BM38" s="11" t="n">
        <f aca="false">PLAY!$H38</f>
        <v>0</v>
      </c>
      <c r="BN38" s="12" t="n">
        <f aca="false">$BI38*ASSUMPTIONS!$B$15+$BK38*ASSUMPTIONS!$B$16</f>
        <v>36.2368852797566</v>
      </c>
      <c r="BO38" s="12" t="n">
        <f aca="false">$BO37+$BN38-$BL38-$BM38-ASSUMPTIONS!$B$23</f>
        <v>258.721993018415</v>
      </c>
      <c r="BP38" s="12" t="n">
        <f aca="false">(SUMPRODUCT(($F$8:$F$37+$A$8:$A$37=$A38)*($C$8:$C$37&lt;&gt;"NONE")*$G$8:$G$37)+SUMPRODUCT(($P$8:$P$37+$A$8:$A$37=$A38)*($M$8:$M$37&lt;&gt;"NONE")*$Q$8:$Q$37))*(1+ASSUMPTIONS!$B$22*(MAX(0,ABS($AA38)/$AI38-1)+MAX(0,ABS($AB38)/$AJ38-1)+MAX(0,ABS($AC38)/$AK38-1)+MAX(0,ABS($AD38)/$AL38-1)+MAX(0,ABS($AE38)/$AM38-1)+MAX(0,ABS($AF38)/$AN38-1)+MAX(0,ABS($AG38)/$AO38-1)+MAX(0,ABS($AH38)/$AP38-1))/8)</f>
        <v>0</v>
      </c>
      <c r="BQ38" s="12" t="n">
        <f aca="false">MAX(0,$BQ37*(1-ASSUMPTIONS!$B$18)+$BP38-$BM38*ASSUMPTIONS!$B$17)</f>
        <v>0.646495635244822</v>
      </c>
    </row>
    <row r="39" customFormat="false" ht="15" hidden="false" customHeight="false" outlineLevel="0" collapsed="false">
      <c r="A39" s="13" t="n">
        <v>32</v>
      </c>
      <c r="B39" s="11" t="n">
        <f aca="false">CLIMATE!B39</f>
        <v>1953</v>
      </c>
      <c r="C39" s="13" t="str">
        <f aca="false">IFERROR(INDEX(CAPABILITIES!$B$7:$B$15,MATCH(PLAY!$D39,CAPABILITIES!$A$7:$A$15,0)),"NONE")</f>
        <v>NONE</v>
      </c>
      <c r="D39" s="13" t="n">
        <f aca="false">IFERROR(IF(INDEX(CAPABILITIES!$B$7:$B$15,MATCH(PLAY!$D39,CAPABILITIES!$A$7:$A$15,0))="DRIVER",INDEX(CAPABILITIES!$C$7:$C$15,MATCH(PLAY!$D39,CAPABILITIES!$A$7:$A$15,0)),PLAY!$E39),"")</f>
        <v>0</v>
      </c>
      <c r="E39" s="13" t="n">
        <f aca="false">IFERROR(INDEX(CAPABILITIES!$D$7:$D$15,MATCH(PLAY!$D39,CAPABILITIES!$A$7:$A$15,0))*IF(INDEX(CAPABILITIES!$K$7:$K$15,MATCH(PLAY!$D39,CAPABILITIES!$A$7:$A$15,0))="Y",IF(IFERROR(INDEX($AA38:$AH38,MATCH(PLAY!$E39,REGIONS!$B$7:$B$14,0)),0)&lt;ASSUMPTIONS!$B$20,1,ASSUMPTIONS!$B$21),1),0)</f>
        <v>0</v>
      </c>
      <c r="F39" s="13" t="n">
        <f aca="false">IFERROR(INDEX(CAPABILITIES!$E$7:$E$15,MATCH(PLAY!$D39,CAPABILITIES!$A$7:$A$15,0)),0)</f>
        <v>0</v>
      </c>
      <c r="G39" s="13" t="n">
        <f aca="false">IFERROR(INDEX(CAPABILITIES!$F$7:$F$15,MATCH(PLAY!$D39,CAPABILITIES!$A$7:$A$15,0)),0)</f>
        <v>0</v>
      </c>
      <c r="H39" s="13" t="n">
        <f aca="false">IFERROR(INDEX(CAPABILITIES!$G$7:$G$15,MATCH(PLAY!$D39,CAPABILITIES!$A$7:$A$15,0)),0)</f>
        <v>0</v>
      </c>
      <c r="I39" s="13" t="n">
        <f aca="false">IFERROR(INDEX(CAPABILITIES!$H$7:$H$15,MATCH(PLAY!$D39,CAPABILITIES!$A$7:$A$15,0)),"")</f>
        <v>0</v>
      </c>
      <c r="J39" s="13" t="n">
        <f aca="false">IFERROR(INDEX(CAPABILITIES!$D$7:$D$15,MATCH(PLAY!$D39,CAPABILITIES!$A$7:$A$15,0))*INDEX(CAPABILITIES!$I$7:$I$15,MATCH(PLAY!$D39,CAPABILITIES!$A$7:$A$15,0)),0)</f>
        <v>0</v>
      </c>
      <c r="K39" s="13" t="n">
        <f aca="false">IFERROR(INDEX(CAPABILITIES!$E$7:$E$15,MATCH(PLAY!$D39,CAPABILITIES!$A$7:$A$15,0))+INDEX(CAPABILITIES!$J$7:$J$15,MATCH(PLAY!$D39,CAPABILITIES!$A$7:$A$15,0)),0)</f>
        <v>0</v>
      </c>
      <c r="L39" s="13" t="n">
        <f aca="false">IFERROR(INDEX(CAPABILITIES!$L$7:$L$15,MATCH(PLAY!$D39,CAPABILITIES!$A$7:$A$15,0)),0)</f>
        <v>0</v>
      </c>
      <c r="M39" s="13" t="str">
        <f aca="false">IFERROR(INDEX(CAPABILITIES!$B$7:$B$15,MATCH(PLAY!$F39,CAPABILITIES!$A$7:$A$15,0)),"NONE")</f>
        <v>NONE</v>
      </c>
      <c r="N39" s="13" t="n">
        <f aca="false">IFERROR(IF(INDEX(CAPABILITIES!$B$7:$B$15,MATCH(PLAY!$F39,CAPABILITIES!$A$7:$A$15,0))="DRIVER",INDEX(CAPABILITIES!$C$7:$C$15,MATCH(PLAY!$F39,CAPABILITIES!$A$7:$A$15,0)),PLAY!$G39),"")</f>
        <v>0</v>
      </c>
      <c r="O39" s="13" t="n">
        <f aca="false">IFERROR(INDEX(CAPABILITIES!$D$7:$D$15,MATCH(PLAY!$F39,CAPABILITIES!$A$7:$A$15,0))*IF(INDEX(CAPABILITIES!$K$7:$K$15,MATCH(PLAY!$F39,CAPABILITIES!$A$7:$A$15,0))="Y",IF(IFERROR(INDEX($AA38:$AH38,MATCH(PLAY!$G39,REGIONS!$B$7:$B$14,0)),0)&lt;ASSUMPTIONS!$B$20,1,ASSUMPTIONS!$B$21),1),0)</f>
        <v>0</v>
      </c>
      <c r="P39" s="13" t="n">
        <f aca="false">IFERROR(INDEX(CAPABILITIES!$E$7:$E$15,MATCH(PLAY!$F39,CAPABILITIES!$A$7:$A$15,0)),0)</f>
        <v>0</v>
      </c>
      <c r="Q39" s="13" t="n">
        <f aca="false">IFERROR(INDEX(CAPABILITIES!$F$7:$F$15,MATCH(PLAY!$F39,CAPABILITIES!$A$7:$A$15,0)),0)</f>
        <v>0</v>
      </c>
      <c r="R39" s="13" t="n">
        <f aca="false">IFERROR(INDEX(CAPABILITIES!$G$7:$G$15,MATCH(PLAY!$F39,CAPABILITIES!$A$7:$A$15,0)),0)</f>
        <v>0</v>
      </c>
      <c r="S39" s="13" t="n">
        <f aca="false">IFERROR(INDEX(CAPABILITIES!$H$7:$H$15,MATCH(PLAY!$F39,CAPABILITIES!$A$7:$A$15,0)),"")</f>
        <v>0</v>
      </c>
      <c r="T39" s="13" t="n">
        <f aca="false">IFERROR(INDEX(CAPABILITIES!$D$7:$D$15,MATCH(PLAY!$F39,CAPABILITIES!$A$7:$A$15,0))*INDEX(CAPABILITIES!$I$7:$I$15,MATCH(PLAY!$F39,CAPABILITIES!$A$7:$A$15,0)),0)</f>
        <v>0</v>
      </c>
      <c r="U39" s="13" t="n">
        <f aca="false">IFERROR(INDEX(CAPABILITIES!$E$7:$E$15,MATCH(PLAY!$F39,CAPABILITIES!$A$7:$A$15,0))+INDEX(CAPABILITIES!$J$7:$J$15,MATCH(PLAY!$F39,CAPABILITIES!$A$7:$A$15,0)),0)</f>
        <v>0</v>
      </c>
      <c r="V39" s="13" t="n">
        <f aca="false">IFERROR(INDEX(CAPABILITIES!$L$7:$L$15,MATCH(PLAY!$F39,CAPABILITIES!$A$7:$A$15,0)),0)</f>
        <v>0</v>
      </c>
      <c r="W39" s="28" t="n">
        <f aca="false">CLIMATE!D39+SUMPRODUCT(($D$8:$D$38="ENSO")*($F$8:$F$38+$A$8:$A$38=$A39)*$E$8:$E$38)+SUMPRODUCT(($I$8:$I$38="ENSO")*($K$8:$K$38+$A$8:$A$38=$A39)*$J$8:$J$38)+SUMPRODUCT(($N$8:$N$38="ENSO")*($P$8:$P$38+$A$8:$A$38=$A39)*$O$8:$O$38)+SUMPRODUCT(($S$8:$S$38="ENSO")*($U$8:$U$38+$A$8:$A$38=$A39)*$T$8:$T$38)</f>
        <v>1.032</v>
      </c>
      <c r="X39" s="28" t="n">
        <f aca="false">CLIMATE!E39+SUMPRODUCT(($D$8:$D$38="IOD")*($F$8:$F$38+$A$8:$A$38=$A39)*$E$8:$E$38)+SUMPRODUCT(($I$8:$I$38="IOD")*($K$8:$K$38+$A$8:$A$38=$A39)*$J$8:$J$38)+SUMPRODUCT(($N$8:$N$38="IOD")*($P$8:$P$38+$A$8:$A$38=$A39)*$O$8:$O$38)+SUMPRODUCT(($S$8:$S$38="IOD")*($U$8:$U$38+$A$8:$A$38=$A39)*$T$8:$T$38)</f>
        <v>-0.779</v>
      </c>
      <c r="Y39" s="28" t="n">
        <f aca="false">CLIMATE!F39+SUMPRODUCT(($D$8:$D$38="NATL")*($F$8:$F$38+$A$8:$A$38=$A39)*$E$8:$E$38)+SUMPRODUCT(($I$8:$I$38="NATL")*($K$8:$K$38+$A$8:$A$38=$A39)*$J$8:$J$38)+SUMPRODUCT(($N$8:$N$38="NATL")*($P$8:$P$38+$A$8:$A$38=$A39)*$O$8:$O$38)+SUMPRODUCT(($S$8:$S$38="NATL")*($U$8:$U$38+$A$8:$A$38=$A39)*$T$8:$T$38)</f>
        <v>0.34</v>
      </c>
      <c r="Z39" s="28" t="n">
        <f aca="false">CLIMATE!G39+SUMPRODUCT(($D$8:$D$38="GLOBAL")*($F$8:$F$38+$A$8:$A$38=$A39)*$E$8:$E$38)+SUMPRODUCT(($I$8:$I$38="GLOBAL")*($K$8:$K$38+$A$8:$A$38=$A39)*$J$8:$J$38)+SUMPRODUCT(($N$8:$N$38="GLOBAL")*($P$8:$P$38+$A$8:$A$38=$A39)*$O$8:$O$38)+SUMPRODUCT(($S$8:$S$38="GLOBAL")*($U$8:$U$38+$A$8:$A$38=$A39)*$T$8:$T$38)</f>
        <v>0</v>
      </c>
      <c r="AA39" s="28" t="n">
        <f aca="false">CLIMATE!H39+IFERROR(INDEX($W$8:$W$47,$A39-GRAPH!B17),0)*GRAPH!B9+IFERROR(INDEX($X$8:$X$47,$A39-GRAPH!B18),0)*GRAPH!B10+IFERROR(INDEX($Y$8:$Y$47,$A39-GRAPH!B19),0)*GRAPH!B11+IFERROR(INDEX($Z$8:$Z$47,$A39-GRAPH!B20),0)*GRAPH!B12+SUMPRODUCT(($D$8:$D$38=REGIONS!$B$7)*($F$8:$F$38+$A$8:$A$38=$A39)*$E$8:$E$38)+SUMPRODUCT(($N$8:$N$38=REGIONS!$B$7)*($P$8:$P$38+$A$8:$A$38=$A39)*$O$8:$O$38)</f>
        <v>0.215</v>
      </c>
      <c r="AB39" s="28" t="n">
        <f aca="false">CLIMATE!I39+IFERROR(INDEX($W$8:$W$47,$A39-GRAPH!C17),0)*GRAPH!C9+IFERROR(INDEX($X$8:$X$47,$A39-GRAPH!C18),0)*GRAPH!C10+IFERROR(INDEX($Y$8:$Y$47,$A39-GRAPH!C19),0)*GRAPH!C11+IFERROR(INDEX($Z$8:$Z$47,$A39-GRAPH!C20),0)*GRAPH!C12+SUMPRODUCT(($D$8:$D$38=REGIONS!$B$8)*($F$8:$F$38+$A$8:$A$38=$A39)*$E$8:$E$38)+SUMPRODUCT(($N$8:$N$38=REGIONS!$B$8)*($P$8:$P$38+$A$8:$A$38=$A39)*$O$8:$O$38)</f>
        <v>-0.3701</v>
      </c>
      <c r="AC39" s="28" t="n">
        <f aca="false">CLIMATE!J39+IFERROR(INDEX($W$8:$W$47,$A39-GRAPH!D17),0)*GRAPH!D9+IFERROR(INDEX($X$8:$X$47,$A39-GRAPH!D18),0)*GRAPH!D10+IFERROR(INDEX($Y$8:$Y$47,$A39-GRAPH!D19),0)*GRAPH!D11+IFERROR(INDEX($Z$8:$Z$47,$A39-GRAPH!D20),0)*GRAPH!D12+SUMPRODUCT(($D$8:$D$38=REGIONS!$B$9)*($F$8:$F$38+$A$8:$A$38=$A39)*$E$8:$E$38)+SUMPRODUCT(($N$8:$N$38=REGIONS!$B$9)*($P$8:$P$38+$A$8:$A$38=$A39)*$O$8:$O$38)</f>
        <v>0.348</v>
      </c>
      <c r="AD39" s="28" t="n">
        <f aca="false">CLIMATE!K39+IFERROR(INDEX($W$8:$W$47,$A39-GRAPH!E17),0)*GRAPH!E9+IFERROR(INDEX($X$8:$X$47,$A39-GRAPH!E18),0)*GRAPH!E10+IFERROR(INDEX($Y$8:$Y$47,$A39-GRAPH!E19),0)*GRAPH!E11+IFERROR(INDEX($Z$8:$Z$47,$A39-GRAPH!E20),0)*GRAPH!E12+SUMPRODUCT(($D$8:$D$38=REGIONS!$B$10)*($F$8:$F$38+$A$8:$A$38=$A39)*$E$8:$E$38)+SUMPRODUCT(($N$8:$N$38=REGIONS!$B$10)*($P$8:$P$38+$A$8:$A$38=$A39)*$O$8:$O$38)</f>
        <v>-0.9286</v>
      </c>
      <c r="AE39" s="28" t="n">
        <f aca="false">CLIMATE!L39+IFERROR(INDEX($W$8:$W$47,$A39-GRAPH!F17),0)*GRAPH!F9+IFERROR(INDEX($X$8:$X$47,$A39-GRAPH!F18),0)*GRAPH!F10+IFERROR(INDEX($Y$8:$Y$47,$A39-GRAPH!F19),0)*GRAPH!F11+IFERROR(INDEX($Z$8:$Z$47,$A39-GRAPH!F20),0)*GRAPH!F12+SUMPRODUCT(($D$8:$D$38=REGIONS!$B$11)*($F$8:$F$38+$A$8:$A$38=$A39)*$E$8:$E$38)+SUMPRODUCT(($N$8:$N$38=REGIONS!$B$11)*($P$8:$P$38+$A$8:$A$38=$A39)*$O$8:$O$38)</f>
        <v>-0.6223</v>
      </c>
      <c r="AF39" s="28" t="n">
        <f aca="false">CLIMATE!M39+IFERROR(INDEX($W$8:$W$47,$A39-GRAPH!G17),0)*GRAPH!G9+IFERROR(INDEX($X$8:$X$47,$A39-GRAPH!G18),0)*GRAPH!G10+IFERROR(INDEX($Y$8:$Y$47,$A39-GRAPH!G19),0)*GRAPH!G11+IFERROR(INDEX($Z$8:$Z$47,$A39-GRAPH!G20),0)*GRAPH!G12+SUMPRODUCT(($D$8:$D$38=REGIONS!$B$12)*($F$8:$F$38+$A$8:$A$38=$A39)*$E$8:$E$38)+SUMPRODUCT(($N$8:$N$38=REGIONS!$B$12)*($P$8:$P$38+$A$8:$A$38=$A39)*$O$8:$O$38)</f>
        <v>-1.0709</v>
      </c>
      <c r="AG39" s="28" t="n">
        <f aca="false">CLIMATE!N39+IFERROR(INDEX($W$8:$W$47,$A39-GRAPH!H17),0)*GRAPH!H9+IFERROR(INDEX($X$8:$X$47,$A39-GRAPH!H18),0)*GRAPH!H10+IFERROR(INDEX($Y$8:$Y$47,$A39-GRAPH!H19),0)*GRAPH!H11+IFERROR(INDEX($Z$8:$Z$47,$A39-GRAPH!H20),0)*GRAPH!H12+SUMPRODUCT(($D$8:$D$38=REGIONS!$B$13)*($F$8:$F$38+$A$8:$A$38=$A39)*$E$8:$E$38)+SUMPRODUCT(($N$8:$N$38=REGIONS!$B$13)*($P$8:$P$38+$A$8:$A$38=$A39)*$O$8:$O$38)</f>
        <v>-0.178</v>
      </c>
      <c r="AH39" s="28" t="n">
        <f aca="false">CLIMATE!O39+IFERROR(INDEX($W$8:$W$47,$A39-GRAPH!I17),0)*GRAPH!I9+IFERROR(INDEX($X$8:$X$47,$A39-GRAPH!I18),0)*GRAPH!I10+IFERROR(INDEX($Y$8:$Y$47,$A39-GRAPH!I19),0)*GRAPH!I11+IFERROR(INDEX($Z$8:$Z$47,$A39-GRAPH!I20),0)*GRAPH!I12+SUMPRODUCT(($D$8:$D$38=REGIONS!$B$14)*($F$8:$F$38+$A$8:$A$38=$A39)*$E$8:$E$38)+SUMPRODUCT(($N$8:$N$38=REGIONS!$B$14)*($P$8:$P$38+$A$8:$A$38=$A39)*$O$8:$O$38)</f>
        <v>0.163</v>
      </c>
      <c r="AI39" s="28" t="n">
        <f aca="false">REGIONS!$F$7*(1+ASSUMPTIONS!$B$19*$A39)</f>
        <v>0.9536</v>
      </c>
      <c r="AJ39" s="28" t="n">
        <f aca="false">REGIONS!$F$8*(1+ASSUMPTIONS!$B$19*$A39)</f>
        <v>1.0728</v>
      </c>
      <c r="AK39" s="28" t="n">
        <f aca="false">REGIONS!$F$9*(1+ASSUMPTIONS!$B$19*$A39)</f>
        <v>1.0728</v>
      </c>
      <c r="AL39" s="28" t="n">
        <f aca="false">REGIONS!$F$10*(1+ASSUMPTIONS!$B$19*$A39)</f>
        <v>0.8344</v>
      </c>
      <c r="AM39" s="28" t="n">
        <f aca="false">REGIONS!$F$11*(1+ASSUMPTIONS!$B$19*$A39)</f>
        <v>0.8344</v>
      </c>
      <c r="AN39" s="28" t="n">
        <f aca="false">REGIONS!$F$12*(1+ASSUMPTIONS!$B$19*$A39)</f>
        <v>1.3112</v>
      </c>
      <c r="AO39" s="28" t="n">
        <f aca="false">REGIONS!$F$13*(1+ASSUMPTIONS!$B$19*$A39)</f>
        <v>1.4304</v>
      </c>
      <c r="AP39" s="28" t="n">
        <f aca="false">REGIONS!$F$14*(1+ASSUMPTIONS!$B$19*$A39)</f>
        <v>1.4304</v>
      </c>
      <c r="AQ39" s="11" t="n">
        <f aca="false">SUMPRODUCT(($D$8:$D$47=REGIONS!$B$7)*($A$8:$A$47&lt;=$A39)*$L$8:$L$47)+SUMPRODUCT(($N$8:$N$47=REGIONS!$B$7)*($A$8:$A$47&lt;=$A39)*$V$8:$V$47)</f>
        <v>0</v>
      </c>
      <c r="AR39" s="11" t="n">
        <f aca="false">SUMPRODUCT(($D$8:$D$47=REGIONS!$B$8)*($A$8:$A$47&lt;=$A39)*$L$8:$L$47)+SUMPRODUCT(($N$8:$N$47=REGIONS!$B$8)*($A$8:$A$47&lt;=$A39)*$V$8:$V$47)</f>
        <v>0</v>
      </c>
      <c r="AS39" s="11" t="n">
        <f aca="false">SUMPRODUCT(($D$8:$D$47=REGIONS!$B$9)*($A$8:$A$47&lt;=$A39)*$L$8:$L$47)+SUMPRODUCT(($N$8:$N$47=REGIONS!$B$9)*($A$8:$A$47&lt;=$A39)*$V$8:$V$47)</f>
        <v>0</v>
      </c>
      <c r="AT39" s="11" t="n">
        <f aca="false">SUMPRODUCT(($D$8:$D$47=REGIONS!$B$10)*($A$8:$A$47&lt;=$A39)*$L$8:$L$47)+SUMPRODUCT(($N$8:$N$47=REGIONS!$B$10)*($A$8:$A$47&lt;=$A39)*$V$8:$V$47)</f>
        <v>0</v>
      </c>
      <c r="AU39" s="11" t="n">
        <f aca="false">SUMPRODUCT(($D$8:$D$47=REGIONS!$B$11)*($A$8:$A$47&lt;=$A39)*$L$8:$L$47)+SUMPRODUCT(($N$8:$N$47=REGIONS!$B$11)*($A$8:$A$47&lt;=$A39)*$V$8:$V$47)</f>
        <v>0</v>
      </c>
      <c r="AV39" s="11" t="n">
        <f aca="false">SUMPRODUCT(($D$8:$D$47=REGIONS!$B$12)*($A$8:$A$47&lt;=$A39)*$L$8:$L$47)+SUMPRODUCT(($N$8:$N$47=REGIONS!$B$12)*($A$8:$A$47&lt;=$A39)*$V$8:$V$47)</f>
        <v>0</v>
      </c>
      <c r="AW39" s="11" t="n">
        <f aca="false">SUMPRODUCT(($D$8:$D$47=REGIONS!$B$13)*($A$8:$A$47&lt;=$A39)*$L$8:$L$47)+SUMPRODUCT(($N$8:$N$47=REGIONS!$B$13)*($A$8:$A$47&lt;=$A39)*$V$8:$V$47)</f>
        <v>0</v>
      </c>
      <c r="AX39" s="11" t="n">
        <f aca="false">SUMPRODUCT(($D$8:$D$47=REGIONS!$B$14)*($A$8:$A$47&lt;=$A39)*$L$8:$L$47)+SUMPRODUCT(($N$8:$N$47=REGIONS!$B$14)*($A$8:$A$47&lt;=$A39)*$V$8:$V$47)</f>
        <v>0</v>
      </c>
      <c r="AY39" s="12" t="n">
        <f aca="false">MAX(0,MIN(135,100-(MAX(0,-$AA39)*REGIONS!$E$7*ASSUMPTIONS!$B$7+MAX(0,$AA39-ASSUMPTIONS!$B$9)*REGIONS!$E$7*ASSUMPTIONS!$B$8)*(1-$AQ39/100)))</f>
        <v>100</v>
      </c>
      <c r="AZ39" s="12" t="n">
        <f aca="false">MAX(0,MIN(135,100-(MAX(0,-$AB39)*REGIONS!$E$8*ASSUMPTIONS!$B$7+MAX(0,$AB39-ASSUMPTIONS!$B$9)*REGIONS!$E$8*ASSUMPTIONS!$B$8)*(1-$AR39/100)))</f>
        <v>94.30046</v>
      </c>
      <c r="BA39" s="12" t="n">
        <f aca="false">MAX(0,MIN(135,100-(MAX(0,-$AC39)*REGIONS!$E$9*ASSUMPTIONS!$B$7+MAX(0,$AC39-ASSUMPTIONS!$B$9)*REGIONS!$E$9*ASSUMPTIONS!$B$8)*(1-$AS39/100)))</f>
        <v>100</v>
      </c>
      <c r="BB39" s="12" t="n">
        <f aca="false">MAX(0,MIN(135,100-(MAX(0,-$AD39)*REGIONS!$E$10*ASSUMPTIONS!$B$7+MAX(0,$AD39-ASSUMPTIONS!$B$9)*REGIONS!$E$10*ASSUMPTIONS!$B$8)*(1-$AT39/100)))</f>
        <v>84.39952</v>
      </c>
      <c r="BC39" s="12" t="n">
        <f aca="false">MAX(0,MIN(135,100-(MAX(0,-$AE39)*REGIONS!$E$11*ASSUMPTIONS!$B$7+MAX(0,$AE39-ASSUMPTIONS!$B$9)*REGIONS!$E$11*ASSUMPTIONS!$B$8)*(1-$AU39/100)))</f>
        <v>90.41658</v>
      </c>
      <c r="BD39" s="12" t="n">
        <f aca="false">MAX(0,MIN(135,100-(MAX(0,-$AF39)*REGIONS!$E$12*ASSUMPTIONS!$B$7+MAX(0,$AF39-ASSUMPTIONS!$B$9)*REGIONS!$E$12*ASSUMPTIONS!$B$8)*(1-$AV39/100)))</f>
        <v>80.50962</v>
      </c>
      <c r="BE39" s="12" t="n">
        <f aca="false">MAX(0,MIN(135,100-(MAX(0,-$AG39)*REGIONS!$E$13*ASSUMPTIONS!$B$7+MAX(0,$AG39-ASSUMPTIONS!$B$9)*REGIONS!$E$13*ASSUMPTIONS!$B$8)*(1-$AW39/100)))</f>
        <v>96.5112</v>
      </c>
      <c r="BF39" s="12" t="n">
        <f aca="false">MAX(0,MIN(135,100-(MAX(0,-$AH39)*REGIONS!$E$14*ASSUMPTIONS!$B$7+MAX(0,$AH39-ASSUMPTIONS!$B$9)*REGIONS!$E$14*ASSUMPTIONS!$B$8)*(1-$AX39/100)))</f>
        <v>100</v>
      </c>
      <c r="BG39" s="12" t="n">
        <f aca="false">$AY39*REGIONS!$D$7/100+$AZ39*REGIONS!$D$8/100+$BA39*REGIONS!$D$9/100+$BB39*REGIONS!$D$10/100+$BC39*REGIONS!$D$11/100+$BD39*REGIONS!$D$12/100+$BE39*REGIONS!$D$13/100+$BF39*REGIONS!$D$14/100</f>
        <v>93.5563222</v>
      </c>
      <c r="BH39" s="12" t="n">
        <f aca="false">100*(100/MAX(1,$BG39))^ASSUMPTIONS!$B$10</f>
        <v>112.737486103751</v>
      </c>
      <c r="BI39" s="12" t="n">
        <f aca="false">$AY39*$BH39/100*ASSUMPTIONS!$B$11</f>
        <v>95.8268631881885</v>
      </c>
      <c r="BJ39" s="28" t="n">
        <f aca="false">MAX(0,ABS($AA39)-$AI39*ASSUMPTIONS!$B$24)*REGIONS!$D$7/100+MAX(0,ABS($AB39)-$AJ39*ASSUMPTIONS!$B$24)*REGIONS!$D$8/100+MAX(0,ABS($AC39)-$AK39*ASSUMPTIONS!$B$24)*REGIONS!$D$9/100+MAX(0,ABS($AD39)-$AL39*ASSUMPTIONS!$B$24)*REGIONS!$D$10/100+MAX(0,ABS($AE39)-$AM39*ASSUMPTIONS!$B$24)*REGIONS!$D$11/100+MAX(0,ABS($AF39)-$AN39*ASSUMPTIONS!$B$24)*REGIONS!$D$12/100+MAX(0,ABS($AG39)-$AO39*ASSUMPTIONS!$B$24)*REGIONS!$D$13/100+MAX(0,ABS($AH39)-$AP39*ASSUMPTIONS!$B$24)*REGIONS!$D$14/100</f>
        <v>0.060629</v>
      </c>
      <c r="BK39" s="12" t="n">
        <f aca="false">MIN(ASSUMPTIONS!$B$14,ASSUMPTIONS!$B$12+$BJ39*ASSUMPTIONS!$B$13)</f>
        <v>30.546418</v>
      </c>
      <c r="BL39" s="11" t="n">
        <f aca="false">$H39+$R39</f>
        <v>0</v>
      </c>
      <c r="BM39" s="11" t="n">
        <f aca="false">PLAY!$H39</f>
        <v>0</v>
      </c>
      <c r="BN39" s="12" t="n">
        <f aca="false">$BI39*ASSUMPTIONS!$B$15+$BK39*ASSUMPTIONS!$B$16</f>
        <v>38.9909997825826</v>
      </c>
      <c r="BO39" s="12" t="n">
        <f aca="false">$BO38+$BN39-$BL39-$BM39-ASSUMPTIONS!$B$23</f>
        <v>265.712992800997</v>
      </c>
      <c r="BP39" s="12" t="n">
        <f aca="false">(SUMPRODUCT(($F$8:$F$38+$A$8:$A$38=$A39)*($C$8:$C$38&lt;&gt;"NONE")*$G$8:$G$38)+SUMPRODUCT(($P$8:$P$38+$A$8:$A$38=$A39)*($M$8:$M$38&lt;&gt;"NONE")*$Q$8:$Q$38))*(1+ASSUMPTIONS!$B$22*(MAX(0,ABS($AA39)/$AI39-1)+MAX(0,ABS($AB39)/$AJ39-1)+MAX(0,ABS($AC39)/$AK39-1)+MAX(0,ABS($AD39)/$AL39-1)+MAX(0,ABS($AE39)/$AM39-1)+MAX(0,ABS($AF39)/$AN39-1)+MAX(0,ABS($AG39)/$AO39-1)+MAX(0,ABS($AH39)/$AP39-1))/8)</f>
        <v>0</v>
      </c>
      <c r="BQ39" s="12" t="n">
        <f aca="false">MAX(0,$BQ38*(1-ASSUMPTIONS!$B$18)+$BP39-$BM39*ASSUMPTIONS!$B$17)</f>
        <v>0.620635809835029</v>
      </c>
    </row>
    <row r="40" customFormat="false" ht="15" hidden="false" customHeight="false" outlineLevel="0" collapsed="false">
      <c r="A40" s="13" t="n">
        <v>33</v>
      </c>
      <c r="B40" s="11" t="n">
        <f aca="false">CLIMATE!B40</f>
        <v>1954</v>
      </c>
      <c r="C40" s="13" t="str">
        <f aca="false">IFERROR(INDEX(CAPABILITIES!$B$7:$B$15,MATCH(PLAY!$D40,CAPABILITIES!$A$7:$A$15,0)),"NONE")</f>
        <v>NONE</v>
      </c>
      <c r="D40" s="13" t="n">
        <f aca="false">IFERROR(IF(INDEX(CAPABILITIES!$B$7:$B$15,MATCH(PLAY!$D40,CAPABILITIES!$A$7:$A$15,0))="DRIVER",INDEX(CAPABILITIES!$C$7:$C$15,MATCH(PLAY!$D40,CAPABILITIES!$A$7:$A$15,0)),PLAY!$E40),"")</f>
        <v>0</v>
      </c>
      <c r="E40" s="13" t="n">
        <f aca="false">IFERROR(INDEX(CAPABILITIES!$D$7:$D$15,MATCH(PLAY!$D40,CAPABILITIES!$A$7:$A$15,0))*IF(INDEX(CAPABILITIES!$K$7:$K$15,MATCH(PLAY!$D40,CAPABILITIES!$A$7:$A$15,0))="Y",IF(IFERROR(INDEX($AA39:$AH39,MATCH(PLAY!$E40,REGIONS!$B$7:$B$14,0)),0)&lt;ASSUMPTIONS!$B$20,1,ASSUMPTIONS!$B$21),1),0)</f>
        <v>0</v>
      </c>
      <c r="F40" s="13" t="n">
        <f aca="false">IFERROR(INDEX(CAPABILITIES!$E$7:$E$15,MATCH(PLAY!$D40,CAPABILITIES!$A$7:$A$15,0)),0)</f>
        <v>0</v>
      </c>
      <c r="G40" s="13" t="n">
        <f aca="false">IFERROR(INDEX(CAPABILITIES!$F$7:$F$15,MATCH(PLAY!$D40,CAPABILITIES!$A$7:$A$15,0)),0)</f>
        <v>0</v>
      </c>
      <c r="H40" s="13" t="n">
        <f aca="false">IFERROR(INDEX(CAPABILITIES!$G$7:$G$15,MATCH(PLAY!$D40,CAPABILITIES!$A$7:$A$15,0)),0)</f>
        <v>0</v>
      </c>
      <c r="I40" s="13" t="n">
        <f aca="false">IFERROR(INDEX(CAPABILITIES!$H$7:$H$15,MATCH(PLAY!$D40,CAPABILITIES!$A$7:$A$15,0)),"")</f>
        <v>0</v>
      </c>
      <c r="J40" s="13" t="n">
        <f aca="false">IFERROR(INDEX(CAPABILITIES!$D$7:$D$15,MATCH(PLAY!$D40,CAPABILITIES!$A$7:$A$15,0))*INDEX(CAPABILITIES!$I$7:$I$15,MATCH(PLAY!$D40,CAPABILITIES!$A$7:$A$15,0)),0)</f>
        <v>0</v>
      </c>
      <c r="K40" s="13" t="n">
        <f aca="false">IFERROR(INDEX(CAPABILITIES!$E$7:$E$15,MATCH(PLAY!$D40,CAPABILITIES!$A$7:$A$15,0))+INDEX(CAPABILITIES!$J$7:$J$15,MATCH(PLAY!$D40,CAPABILITIES!$A$7:$A$15,0)),0)</f>
        <v>0</v>
      </c>
      <c r="L40" s="13" t="n">
        <f aca="false">IFERROR(INDEX(CAPABILITIES!$L$7:$L$15,MATCH(PLAY!$D40,CAPABILITIES!$A$7:$A$15,0)),0)</f>
        <v>0</v>
      </c>
      <c r="M40" s="13" t="str">
        <f aca="false">IFERROR(INDEX(CAPABILITIES!$B$7:$B$15,MATCH(PLAY!$F40,CAPABILITIES!$A$7:$A$15,0)),"NONE")</f>
        <v>NONE</v>
      </c>
      <c r="N40" s="13" t="n">
        <f aca="false">IFERROR(IF(INDEX(CAPABILITIES!$B$7:$B$15,MATCH(PLAY!$F40,CAPABILITIES!$A$7:$A$15,0))="DRIVER",INDEX(CAPABILITIES!$C$7:$C$15,MATCH(PLAY!$F40,CAPABILITIES!$A$7:$A$15,0)),PLAY!$G40),"")</f>
        <v>0</v>
      </c>
      <c r="O40" s="13" t="n">
        <f aca="false">IFERROR(INDEX(CAPABILITIES!$D$7:$D$15,MATCH(PLAY!$F40,CAPABILITIES!$A$7:$A$15,0))*IF(INDEX(CAPABILITIES!$K$7:$K$15,MATCH(PLAY!$F40,CAPABILITIES!$A$7:$A$15,0))="Y",IF(IFERROR(INDEX($AA39:$AH39,MATCH(PLAY!$G40,REGIONS!$B$7:$B$14,0)),0)&lt;ASSUMPTIONS!$B$20,1,ASSUMPTIONS!$B$21),1),0)</f>
        <v>0</v>
      </c>
      <c r="P40" s="13" t="n">
        <f aca="false">IFERROR(INDEX(CAPABILITIES!$E$7:$E$15,MATCH(PLAY!$F40,CAPABILITIES!$A$7:$A$15,0)),0)</f>
        <v>0</v>
      </c>
      <c r="Q40" s="13" t="n">
        <f aca="false">IFERROR(INDEX(CAPABILITIES!$F$7:$F$15,MATCH(PLAY!$F40,CAPABILITIES!$A$7:$A$15,0)),0)</f>
        <v>0</v>
      </c>
      <c r="R40" s="13" t="n">
        <f aca="false">IFERROR(INDEX(CAPABILITIES!$G$7:$G$15,MATCH(PLAY!$F40,CAPABILITIES!$A$7:$A$15,0)),0)</f>
        <v>0</v>
      </c>
      <c r="S40" s="13" t="n">
        <f aca="false">IFERROR(INDEX(CAPABILITIES!$H$7:$H$15,MATCH(PLAY!$F40,CAPABILITIES!$A$7:$A$15,0)),"")</f>
        <v>0</v>
      </c>
      <c r="T40" s="13" t="n">
        <f aca="false">IFERROR(INDEX(CAPABILITIES!$D$7:$D$15,MATCH(PLAY!$F40,CAPABILITIES!$A$7:$A$15,0))*INDEX(CAPABILITIES!$I$7:$I$15,MATCH(PLAY!$F40,CAPABILITIES!$A$7:$A$15,0)),0)</f>
        <v>0</v>
      </c>
      <c r="U40" s="13" t="n">
        <f aca="false">IFERROR(INDEX(CAPABILITIES!$E$7:$E$15,MATCH(PLAY!$F40,CAPABILITIES!$A$7:$A$15,0))+INDEX(CAPABILITIES!$J$7:$J$15,MATCH(PLAY!$F40,CAPABILITIES!$A$7:$A$15,0)),0)</f>
        <v>0</v>
      </c>
      <c r="V40" s="13" t="n">
        <f aca="false">IFERROR(INDEX(CAPABILITIES!$L$7:$L$15,MATCH(PLAY!$F40,CAPABILITIES!$A$7:$A$15,0)),0)</f>
        <v>0</v>
      </c>
      <c r="W40" s="28" t="n">
        <f aca="false">CLIMATE!D40+SUMPRODUCT(($D$8:$D$39="ENSO")*($F$8:$F$39+$A$8:$A$39=$A40)*$E$8:$E$39)+SUMPRODUCT(($I$8:$I$39="ENSO")*($K$8:$K$39+$A$8:$A$39=$A40)*$J$8:$J$39)+SUMPRODUCT(($N$8:$N$39="ENSO")*($P$8:$P$39+$A$8:$A$39=$A40)*$O$8:$O$39)+SUMPRODUCT(($S$8:$S$39="ENSO")*($U$8:$U$39+$A$8:$A$39=$A40)*$T$8:$T$39)</f>
        <v>0.35</v>
      </c>
      <c r="X40" s="28" t="n">
        <f aca="false">CLIMATE!E40+SUMPRODUCT(($D$8:$D$39="IOD")*($F$8:$F$39+$A$8:$A$39=$A40)*$E$8:$E$39)+SUMPRODUCT(($I$8:$I$39="IOD")*($K$8:$K$39+$A$8:$A$39=$A40)*$J$8:$J$39)+SUMPRODUCT(($N$8:$N$39="IOD")*($P$8:$P$39+$A$8:$A$39=$A40)*$O$8:$O$39)+SUMPRODUCT(($S$8:$S$39="IOD")*($U$8:$U$39+$A$8:$A$39=$A40)*$T$8:$T$39)</f>
        <v>0.111</v>
      </c>
      <c r="Y40" s="28" t="n">
        <f aca="false">CLIMATE!F40+SUMPRODUCT(($D$8:$D$39="NATL")*($F$8:$F$39+$A$8:$A$39=$A40)*$E$8:$E$39)+SUMPRODUCT(($I$8:$I$39="NATL")*($K$8:$K$39+$A$8:$A$39=$A40)*$J$8:$J$39)+SUMPRODUCT(($N$8:$N$39="NATL")*($P$8:$P$39+$A$8:$A$39=$A40)*$O$8:$O$39)+SUMPRODUCT(($S$8:$S$39="NATL")*($U$8:$U$39+$A$8:$A$39=$A40)*$T$8:$T$39)</f>
        <v>0.442</v>
      </c>
      <c r="Z40" s="28" t="n">
        <f aca="false">CLIMATE!G40+SUMPRODUCT(($D$8:$D$39="GLOBAL")*($F$8:$F$39+$A$8:$A$39=$A40)*$E$8:$E$39)+SUMPRODUCT(($I$8:$I$39="GLOBAL")*($K$8:$K$39+$A$8:$A$39=$A40)*$J$8:$J$39)+SUMPRODUCT(($N$8:$N$39="GLOBAL")*($P$8:$P$39+$A$8:$A$39=$A40)*$O$8:$O$39)+SUMPRODUCT(($S$8:$S$39="GLOBAL")*($U$8:$U$39+$A$8:$A$39=$A40)*$T$8:$T$39)</f>
        <v>0</v>
      </c>
      <c r="AA40" s="28" t="n">
        <f aca="false">CLIMATE!H40+IFERROR(INDEX($W$8:$W$47,$A40-GRAPH!B17),0)*GRAPH!B9+IFERROR(INDEX($X$8:$X$47,$A40-GRAPH!B18),0)*GRAPH!B10+IFERROR(INDEX($Y$8:$Y$47,$A40-GRAPH!B19),0)*GRAPH!B11+IFERROR(INDEX($Z$8:$Z$47,$A40-GRAPH!B20),0)*GRAPH!B12+SUMPRODUCT(($D$8:$D$39=REGIONS!$B$7)*($F$8:$F$39+$A$8:$A$39=$A40)*$E$8:$E$39)+SUMPRODUCT(($N$8:$N$39=REGIONS!$B$7)*($P$8:$P$39+$A$8:$A$39=$A40)*$O$8:$O$39)</f>
        <v>0.00290000000000004</v>
      </c>
      <c r="AB40" s="28" t="n">
        <f aca="false">CLIMATE!I40+IFERROR(INDEX($W$8:$W$47,$A40-GRAPH!C17),0)*GRAPH!C9+IFERROR(INDEX($X$8:$X$47,$A40-GRAPH!C18),0)*GRAPH!C10+IFERROR(INDEX($Y$8:$Y$47,$A40-GRAPH!C19),0)*GRAPH!C11+IFERROR(INDEX($Z$8:$Z$47,$A40-GRAPH!C20),0)*GRAPH!C12+SUMPRODUCT(($D$8:$D$39=REGIONS!$B$8)*($F$8:$F$39+$A$8:$A$39=$A40)*$E$8:$E$39)+SUMPRODUCT(($N$8:$N$39=REGIONS!$B$8)*($P$8:$P$39+$A$8:$A$39=$A40)*$O$8:$O$39)</f>
        <v>-0.0696</v>
      </c>
      <c r="AC40" s="28" t="n">
        <f aca="false">CLIMATE!J40+IFERROR(INDEX($W$8:$W$47,$A40-GRAPH!D17),0)*GRAPH!D9+IFERROR(INDEX($X$8:$X$47,$A40-GRAPH!D18),0)*GRAPH!D10+IFERROR(INDEX($Y$8:$Y$47,$A40-GRAPH!D19),0)*GRAPH!D11+IFERROR(INDEX($Z$8:$Z$47,$A40-GRAPH!D20),0)*GRAPH!D12+SUMPRODUCT(($D$8:$D$39=REGIONS!$B$9)*($F$8:$F$39+$A$8:$A$39=$A40)*$E$8:$E$39)+SUMPRODUCT(($N$8:$N$39=REGIONS!$B$9)*($P$8:$P$39+$A$8:$A$39=$A40)*$O$8:$O$39)</f>
        <v>0.4705</v>
      </c>
      <c r="AD40" s="28" t="n">
        <f aca="false">CLIMATE!K40+IFERROR(INDEX($W$8:$W$47,$A40-GRAPH!E17),0)*GRAPH!E9+IFERROR(INDEX($X$8:$X$47,$A40-GRAPH!E18),0)*GRAPH!E10+IFERROR(INDEX($Y$8:$Y$47,$A40-GRAPH!E19),0)*GRAPH!E11+IFERROR(INDEX($Z$8:$Z$47,$A40-GRAPH!E20),0)*GRAPH!E12+SUMPRODUCT(($D$8:$D$39=REGIONS!$B$10)*($F$8:$F$39+$A$8:$A$39=$A40)*$E$8:$E$39)+SUMPRODUCT(($N$8:$N$39=REGIONS!$B$10)*($P$8:$P$39+$A$8:$A$39=$A40)*$O$8:$O$39)</f>
        <v>-0.6653</v>
      </c>
      <c r="AE40" s="28" t="n">
        <f aca="false">CLIMATE!L40+IFERROR(INDEX($W$8:$W$47,$A40-GRAPH!F17),0)*GRAPH!F9+IFERROR(INDEX($X$8:$X$47,$A40-GRAPH!F18),0)*GRAPH!F10+IFERROR(INDEX($Y$8:$Y$47,$A40-GRAPH!F19),0)*GRAPH!F11+IFERROR(INDEX($Z$8:$Z$47,$A40-GRAPH!F20),0)*GRAPH!F12+SUMPRODUCT(($D$8:$D$39=REGIONS!$B$11)*($F$8:$F$39+$A$8:$A$39=$A40)*$E$8:$E$39)+SUMPRODUCT(($N$8:$N$39=REGIONS!$B$11)*($P$8:$P$39+$A$8:$A$39=$A40)*$O$8:$O$39)</f>
        <v>-0.3386</v>
      </c>
      <c r="AF40" s="28" t="n">
        <f aca="false">CLIMATE!M40+IFERROR(INDEX($W$8:$W$47,$A40-GRAPH!G17),0)*GRAPH!G9+IFERROR(INDEX($X$8:$X$47,$A40-GRAPH!G18),0)*GRAPH!G10+IFERROR(INDEX($Y$8:$Y$47,$A40-GRAPH!G19),0)*GRAPH!G11+IFERROR(INDEX($Z$8:$Z$47,$A40-GRAPH!G20),0)*GRAPH!G12+SUMPRODUCT(($D$8:$D$39=REGIONS!$B$12)*($F$8:$F$39+$A$8:$A$39=$A40)*$E$8:$E$39)+SUMPRODUCT(($N$8:$N$39=REGIONS!$B$12)*($P$8:$P$39+$A$8:$A$39=$A40)*$O$8:$O$39)</f>
        <v>-0.3264</v>
      </c>
      <c r="AG40" s="28" t="n">
        <f aca="false">CLIMATE!N40+IFERROR(INDEX($W$8:$W$47,$A40-GRAPH!H17),0)*GRAPH!H9+IFERROR(INDEX($X$8:$X$47,$A40-GRAPH!H18),0)*GRAPH!H10+IFERROR(INDEX($Y$8:$Y$47,$A40-GRAPH!H19),0)*GRAPH!H11+IFERROR(INDEX($Z$8:$Z$47,$A40-GRAPH!H20),0)*GRAPH!H12+SUMPRODUCT(($D$8:$D$39=REGIONS!$B$13)*($F$8:$F$39+$A$8:$A$39=$A40)*$E$8:$E$39)+SUMPRODUCT(($N$8:$N$39=REGIONS!$B$13)*($P$8:$P$39+$A$8:$A$39=$A40)*$O$8:$O$39)</f>
        <v>-0.2467</v>
      </c>
      <c r="AH40" s="28" t="n">
        <f aca="false">CLIMATE!O40+IFERROR(INDEX($W$8:$W$47,$A40-GRAPH!I17),0)*GRAPH!I9+IFERROR(INDEX($X$8:$X$47,$A40-GRAPH!I18),0)*GRAPH!I10+IFERROR(INDEX($Y$8:$Y$47,$A40-GRAPH!I19),0)*GRAPH!I11+IFERROR(INDEX($Z$8:$Z$47,$A40-GRAPH!I20),0)*GRAPH!I12+SUMPRODUCT(($D$8:$D$39=REGIONS!$B$14)*($F$8:$F$39+$A$8:$A$39=$A40)*$E$8:$E$39)+SUMPRODUCT(($N$8:$N$39=REGIONS!$B$14)*($P$8:$P$39+$A$8:$A$39=$A40)*$O$8:$O$39)</f>
        <v>0.156</v>
      </c>
      <c r="AI40" s="28" t="n">
        <f aca="false">REGIONS!$F$7*(1+ASSUMPTIONS!$B$19*$A40)</f>
        <v>0.9584</v>
      </c>
      <c r="AJ40" s="28" t="n">
        <f aca="false">REGIONS!$F$8*(1+ASSUMPTIONS!$B$19*$A40)</f>
        <v>1.0782</v>
      </c>
      <c r="AK40" s="28" t="n">
        <f aca="false">REGIONS!$F$9*(1+ASSUMPTIONS!$B$19*$A40)</f>
        <v>1.0782</v>
      </c>
      <c r="AL40" s="28" t="n">
        <f aca="false">REGIONS!$F$10*(1+ASSUMPTIONS!$B$19*$A40)</f>
        <v>0.8386</v>
      </c>
      <c r="AM40" s="28" t="n">
        <f aca="false">REGIONS!$F$11*(1+ASSUMPTIONS!$B$19*$A40)</f>
        <v>0.8386</v>
      </c>
      <c r="AN40" s="28" t="n">
        <f aca="false">REGIONS!$F$12*(1+ASSUMPTIONS!$B$19*$A40)</f>
        <v>1.3178</v>
      </c>
      <c r="AO40" s="28" t="n">
        <f aca="false">REGIONS!$F$13*(1+ASSUMPTIONS!$B$19*$A40)</f>
        <v>1.4376</v>
      </c>
      <c r="AP40" s="28" t="n">
        <f aca="false">REGIONS!$F$14*(1+ASSUMPTIONS!$B$19*$A40)</f>
        <v>1.4376</v>
      </c>
      <c r="AQ40" s="11" t="n">
        <f aca="false">SUMPRODUCT(($D$8:$D$47=REGIONS!$B$7)*($A$8:$A$47&lt;=$A40)*$L$8:$L$47)+SUMPRODUCT(($N$8:$N$47=REGIONS!$B$7)*($A$8:$A$47&lt;=$A40)*$V$8:$V$47)</f>
        <v>0</v>
      </c>
      <c r="AR40" s="11" t="n">
        <f aca="false">SUMPRODUCT(($D$8:$D$47=REGIONS!$B$8)*($A$8:$A$47&lt;=$A40)*$L$8:$L$47)+SUMPRODUCT(($N$8:$N$47=REGIONS!$B$8)*($A$8:$A$47&lt;=$A40)*$V$8:$V$47)</f>
        <v>0</v>
      </c>
      <c r="AS40" s="11" t="n">
        <f aca="false">SUMPRODUCT(($D$8:$D$47=REGIONS!$B$9)*($A$8:$A$47&lt;=$A40)*$L$8:$L$47)+SUMPRODUCT(($N$8:$N$47=REGIONS!$B$9)*($A$8:$A$47&lt;=$A40)*$V$8:$V$47)</f>
        <v>0</v>
      </c>
      <c r="AT40" s="11" t="n">
        <f aca="false">SUMPRODUCT(($D$8:$D$47=REGIONS!$B$10)*($A$8:$A$47&lt;=$A40)*$L$8:$L$47)+SUMPRODUCT(($N$8:$N$47=REGIONS!$B$10)*($A$8:$A$47&lt;=$A40)*$V$8:$V$47)</f>
        <v>0</v>
      </c>
      <c r="AU40" s="11" t="n">
        <f aca="false">SUMPRODUCT(($D$8:$D$47=REGIONS!$B$11)*($A$8:$A$47&lt;=$A40)*$L$8:$L$47)+SUMPRODUCT(($N$8:$N$47=REGIONS!$B$11)*($A$8:$A$47&lt;=$A40)*$V$8:$V$47)</f>
        <v>0</v>
      </c>
      <c r="AV40" s="11" t="n">
        <f aca="false">SUMPRODUCT(($D$8:$D$47=REGIONS!$B$12)*($A$8:$A$47&lt;=$A40)*$L$8:$L$47)+SUMPRODUCT(($N$8:$N$47=REGIONS!$B$12)*($A$8:$A$47&lt;=$A40)*$V$8:$V$47)</f>
        <v>0</v>
      </c>
      <c r="AW40" s="11" t="n">
        <f aca="false">SUMPRODUCT(($D$8:$D$47=REGIONS!$B$13)*($A$8:$A$47&lt;=$A40)*$L$8:$L$47)+SUMPRODUCT(($N$8:$N$47=REGIONS!$B$13)*($A$8:$A$47&lt;=$A40)*$V$8:$V$47)</f>
        <v>0</v>
      </c>
      <c r="AX40" s="11" t="n">
        <f aca="false">SUMPRODUCT(($D$8:$D$47=REGIONS!$B$14)*($A$8:$A$47&lt;=$A40)*$L$8:$L$47)+SUMPRODUCT(($N$8:$N$47=REGIONS!$B$14)*($A$8:$A$47&lt;=$A40)*$V$8:$V$47)</f>
        <v>0</v>
      </c>
      <c r="AY40" s="12" t="n">
        <f aca="false">MAX(0,MIN(135,100-(MAX(0,-$AA40)*REGIONS!$E$7*ASSUMPTIONS!$B$7+MAX(0,$AA40-ASSUMPTIONS!$B$9)*REGIONS!$E$7*ASSUMPTIONS!$B$8)*(1-$AQ40/100)))</f>
        <v>100</v>
      </c>
      <c r="AZ40" s="12" t="n">
        <f aca="false">MAX(0,MIN(135,100-(MAX(0,-$AB40)*REGIONS!$E$8*ASSUMPTIONS!$B$7+MAX(0,$AB40-ASSUMPTIONS!$B$9)*REGIONS!$E$8*ASSUMPTIONS!$B$8)*(1-$AR40/100)))</f>
        <v>98.92816</v>
      </c>
      <c r="BA40" s="12" t="n">
        <f aca="false">MAX(0,MIN(135,100-(MAX(0,-$AC40)*REGIONS!$E$9*ASSUMPTIONS!$B$7+MAX(0,$AC40-ASSUMPTIONS!$B$9)*REGIONS!$E$9*ASSUMPTIONS!$B$8)*(1-$AS40/100)))</f>
        <v>100</v>
      </c>
      <c r="BB40" s="12" t="n">
        <f aca="false">MAX(0,MIN(135,100-(MAX(0,-$AD40)*REGIONS!$E$10*ASSUMPTIONS!$B$7+MAX(0,$AD40-ASSUMPTIONS!$B$9)*REGIONS!$E$10*ASSUMPTIONS!$B$8)*(1-$AT40/100)))</f>
        <v>88.82296</v>
      </c>
      <c r="BC40" s="12" t="n">
        <f aca="false">MAX(0,MIN(135,100-(MAX(0,-$AE40)*REGIONS!$E$11*ASSUMPTIONS!$B$7+MAX(0,$AE40-ASSUMPTIONS!$B$9)*REGIONS!$E$11*ASSUMPTIONS!$B$8)*(1-$AU40/100)))</f>
        <v>94.78556</v>
      </c>
      <c r="BD40" s="12" t="n">
        <f aca="false">MAX(0,MIN(135,100-(MAX(0,-$AF40)*REGIONS!$E$12*ASSUMPTIONS!$B$7+MAX(0,$AF40-ASSUMPTIONS!$B$9)*REGIONS!$E$12*ASSUMPTIONS!$B$8)*(1-$AV40/100)))</f>
        <v>94.05952</v>
      </c>
      <c r="BE40" s="12" t="n">
        <f aca="false">MAX(0,MIN(135,100-(MAX(0,-$AG40)*REGIONS!$E$13*ASSUMPTIONS!$B$7+MAX(0,$AG40-ASSUMPTIONS!$B$9)*REGIONS!$E$13*ASSUMPTIONS!$B$8)*(1-$AW40/100)))</f>
        <v>95.16468</v>
      </c>
      <c r="BF40" s="12" t="n">
        <f aca="false">MAX(0,MIN(135,100-(MAX(0,-$AH40)*REGIONS!$E$14*ASSUMPTIONS!$B$7+MAX(0,$AH40-ASSUMPTIONS!$B$9)*REGIONS!$E$14*ASSUMPTIONS!$B$8)*(1-$AX40/100)))</f>
        <v>100</v>
      </c>
      <c r="BG40" s="12" t="n">
        <f aca="false">$AY40*REGIONS!$D$7/100+$AZ40*REGIONS!$D$8/100+$BA40*REGIONS!$D$9/100+$BB40*REGIONS!$D$10/100+$BC40*REGIONS!$D$11/100+$BD40*REGIONS!$D$12/100+$BE40*REGIONS!$D$13/100+$BF40*REGIONS!$D$14/100</f>
        <v>96.4849528</v>
      </c>
      <c r="BH40" s="12" t="n">
        <f aca="false">100*(100/MAX(1,$BG40))^ASSUMPTIONS!$B$10</f>
        <v>106.652917543859</v>
      </c>
      <c r="BI40" s="12" t="n">
        <f aca="false">$AY40*$BH40/100*ASSUMPTIONS!$B$11</f>
        <v>90.6549799122803</v>
      </c>
      <c r="BJ40" s="28" t="n">
        <f aca="false">MAX(0,ABS($AA40)-$AI40*ASSUMPTIONS!$B$24)*REGIONS!$D$7/100+MAX(0,ABS($AB40)-$AJ40*ASSUMPTIONS!$B$24)*REGIONS!$D$8/100+MAX(0,ABS($AC40)-$AK40*ASSUMPTIONS!$B$24)*REGIONS!$D$9/100+MAX(0,ABS($AD40)-$AL40*ASSUMPTIONS!$B$24)*REGIONS!$D$10/100+MAX(0,ABS($AE40)-$AM40*ASSUMPTIONS!$B$24)*REGIONS!$D$11/100+MAX(0,ABS($AF40)-$AN40*ASSUMPTIONS!$B$24)*REGIONS!$D$12/100+MAX(0,ABS($AG40)-$AO40*ASSUMPTIONS!$B$24)*REGIONS!$D$13/100+MAX(0,ABS($AH40)-$AP40*ASSUMPTIONS!$B$24)*REGIONS!$D$14/100</f>
        <v>0.00654300000000002</v>
      </c>
      <c r="BK40" s="12" t="n">
        <f aca="false">MIN(ASSUMPTIONS!$B$14,ASSUMPTIONS!$B$12+$BJ40*ASSUMPTIONS!$B$13)</f>
        <v>28.274806</v>
      </c>
      <c r="BL40" s="11" t="n">
        <f aca="false">$H40+$R40</f>
        <v>0</v>
      </c>
      <c r="BM40" s="11" t="n">
        <f aca="false">PLAY!$H40</f>
        <v>0</v>
      </c>
      <c r="BN40" s="12" t="n">
        <f aca="false">$BI40*ASSUMPTIONS!$B$15+$BK40*ASSUMPTIONS!$B$16</f>
        <v>36.3259229894736</v>
      </c>
      <c r="BO40" s="12" t="n">
        <f aca="false">$BO39+$BN40-$BL40-$BM40-ASSUMPTIONS!$B$23</f>
        <v>270.038915790471</v>
      </c>
      <c r="BP40" s="12" t="n">
        <f aca="false">(SUMPRODUCT(($F$8:$F$39+$A$8:$A$39=$A40)*($C$8:$C$39&lt;&gt;"NONE")*$G$8:$G$39)+SUMPRODUCT(($P$8:$P$39+$A$8:$A$39=$A40)*($M$8:$M$39&lt;&gt;"NONE")*$Q$8:$Q$39))*(1+ASSUMPTIONS!$B$22*(MAX(0,ABS($AA40)/$AI40-1)+MAX(0,ABS($AB40)/$AJ40-1)+MAX(0,ABS($AC40)/$AK40-1)+MAX(0,ABS($AD40)/$AL40-1)+MAX(0,ABS($AE40)/$AM40-1)+MAX(0,ABS($AF40)/$AN40-1)+MAX(0,ABS($AG40)/$AO40-1)+MAX(0,ABS($AH40)/$AP40-1))/8)</f>
        <v>0</v>
      </c>
      <c r="BQ40" s="12" t="n">
        <f aca="false">MAX(0,$BQ39*(1-ASSUMPTIONS!$B$18)+$BP40-$BM40*ASSUMPTIONS!$B$17)</f>
        <v>0.595810377441628</v>
      </c>
    </row>
    <row r="41" customFormat="false" ht="15" hidden="false" customHeight="false" outlineLevel="0" collapsed="false">
      <c r="A41" s="13" t="n">
        <v>34</v>
      </c>
      <c r="B41" s="11" t="n">
        <f aca="false">CLIMATE!B41</f>
        <v>1954</v>
      </c>
      <c r="C41" s="13" t="str">
        <f aca="false">IFERROR(INDEX(CAPABILITIES!$B$7:$B$15,MATCH(PLAY!$D41,CAPABILITIES!$A$7:$A$15,0)),"NONE")</f>
        <v>NONE</v>
      </c>
      <c r="D41" s="13" t="n">
        <f aca="false">IFERROR(IF(INDEX(CAPABILITIES!$B$7:$B$15,MATCH(PLAY!$D41,CAPABILITIES!$A$7:$A$15,0))="DRIVER",INDEX(CAPABILITIES!$C$7:$C$15,MATCH(PLAY!$D41,CAPABILITIES!$A$7:$A$15,0)),PLAY!$E41),"")</f>
        <v>0</v>
      </c>
      <c r="E41" s="13" t="n">
        <f aca="false">IFERROR(INDEX(CAPABILITIES!$D$7:$D$15,MATCH(PLAY!$D41,CAPABILITIES!$A$7:$A$15,0))*IF(INDEX(CAPABILITIES!$K$7:$K$15,MATCH(PLAY!$D41,CAPABILITIES!$A$7:$A$15,0))="Y",IF(IFERROR(INDEX($AA40:$AH40,MATCH(PLAY!$E41,REGIONS!$B$7:$B$14,0)),0)&lt;ASSUMPTIONS!$B$20,1,ASSUMPTIONS!$B$21),1),0)</f>
        <v>0</v>
      </c>
      <c r="F41" s="13" t="n">
        <f aca="false">IFERROR(INDEX(CAPABILITIES!$E$7:$E$15,MATCH(PLAY!$D41,CAPABILITIES!$A$7:$A$15,0)),0)</f>
        <v>0</v>
      </c>
      <c r="G41" s="13" t="n">
        <f aca="false">IFERROR(INDEX(CAPABILITIES!$F$7:$F$15,MATCH(PLAY!$D41,CAPABILITIES!$A$7:$A$15,0)),0)</f>
        <v>0</v>
      </c>
      <c r="H41" s="13" t="n">
        <f aca="false">IFERROR(INDEX(CAPABILITIES!$G$7:$G$15,MATCH(PLAY!$D41,CAPABILITIES!$A$7:$A$15,0)),0)</f>
        <v>0</v>
      </c>
      <c r="I41" s="13" t="n">
        <f aca="false">IFERROR(INDEX(CAPABILITIES!$H$7:$H$15,MATCH(PLAY!$D41,CAPABILITIES!$A$7:$A$15,0)),"")</f>
        <v>0</v>
      </c>
      <c r="J41" s="13" t="n">
        <f aca="false">IFERROR(INDEX(CAPABILITIES!$D$7:$D$15,MATCH(PLAY!$D41,CAPABILITIES!$A$7:$A$15,0))*INDEX(CAPABILITIES!$I$7:$I$15,MATCH(PLAY!$D41,CAPABILITIES!$A$7:$A$15,0)),0)</f>
        <v>0</v>
      </c>
      <c r="K41" s="13" t="n">
        <f aca="false">IFERROR(INDEX(CAPABILITIES!$E$7:$E$15,MATCH(PLAY!$D41,CAPABILITIES!$A$7:$A$15,0))+INDEX(CAPABILITIES!$J$7:$J$15,MATCH(PLAY!$D41,CAPABILITIES!$A$7:$A$15,0)),0)</f>
        <v>0</v>
      </c>
      <c r="L41" s="13" t="n">
        <f aca="false">IFERROR(INDEX(CAPABILITIES!$L$7:$L$15,MATCH(PLAY!$D41,CAPABILITIES!$A$7:$A$15,0)),0)</f>
        <v>0</v>
      </c>
      <c r="M41" s="13" t="str">
        <f aca="false">IFERROR(INDEX(CAPABILITIES!$B$7:$B$15,MATCH(PLAY!$F41,CAPABILITIES!$A$7:$A$15,0)),"NONE")</f>
        <v>NONE</v>
      </c>
      <c r="N41" s="13" t="n">
        <f aca="false">IFERROR(IF(INDEX(CAPABILITIES!$B$7:$B$15,MATCH(PLAY!$F41,CAPABILITIES!$A$7:$A$15,0))="DRIVER",INDEX(CAPABILITIES!$C$7:$C$15,MATCH(PLAY!$F41,CAPABILITIES!$A$7:$A$15,0)),PLAY!$G41),"")</f>
        <v>0</v>
      </c>
      <c r="O41" s="13" t="n">
        <f aca="false">IFERROR(INDEX(CAPABILITIES!$D$7:$D$15,MATCH(PLAY!$F41,CAPABILITIES!$A$7:$A$15,0))*IF(INDEX(CAPABILITIES!$K$7:$K$15,MATCH(PLAY!$F41,CAPABILITIES!$A$7:$A$15,0))="Y",IF(IFERROR(INDEX($AA40:$AH40,MATCH(PLAY!$G41,REGIONS!$B$7:$B$14,0)),0)&lt;ASSUMPTIONS!$B$20,1,ASSUMPTIONS!$B$21),1),0)</f>
        <v>0</v>
      </c>
      <c r="P41" s="13" t="n">
        <f aca="false">IFERROR(INDEX(CAPABILITIES!$E$7:$E$15,MATCH(PLAY!$F41,CAPABILITIES!$A$7:$A$15,0)),0)</f>
        <v>0</v>
      </c>
      <c r="Q41" s="13" t="n">
        <f aca="false">IFERROR(INDEX(CAPABILITIES!$F$7:$F$15,MATCH(PLAY!$F41,CAPABILITIES!$A$7:$A$15,0)),0)</f>
        <v>0</v>
      </c>
      <c r="R41" s="13" t="n">
        <f aca="false">IFERROR(INDEX(CAPABILITIES!$G$7:$G$15,MATCH(PLAY!$F41,CAPABILITIES!$A$7:$A$15,0)),0)</f>
        <v>0</v>
      </c>
      <c r="S41" s="13" t="n">
        <f aca="false">IFERROR(INDEX(CAPABILITIES!$H$7:$H$15,MATCH(PLAY!$F41,CAPABILITIES!$A$7:$A$15,0)),"")</f>
        <v>0</v>
      </c>
      <c r="T41" s="13" t="n">
        <f aca="false">IFERROR(INDEX(CAPABILITIES!$D$7:$D$15,MATCH(PLAY!$F41,CAPABILITIES!$A$7:$A$15,0))*INDEX(CAPABILITIES!$I$7:$I$15,MATCH(PLAY!$F41,CAPABILITIES!$A$7:$A$15,0)),0)</f>
        <v>0</v>
      </c>
      <c r="U41" s="13" t="n">
        <f aca="false">IFERROR(INDEX(CAPABILITIES!$E$7:$E$15,MATCH(PLAY!$F41,CAPABILITIES!$A$7:$A$15,0))+INDEX(CAPABILITIES!$J$7:$J$15,MATCH(PLAY!$F41,CAPABILITIES!$A$7:$A$15,0)),0)</f>
        <v>0</v>
      </c>
      <c r="V41" s="13" t="n">
        <f aca="false">IFERROR(INDEX(CAPABILITIES!$L$7:$L$15,MATCH(PLAY!$F41,CAPABILITIES!$A$7:$A$15,0)),0)</f>
        <v>0</v>
      </c>
      <c r="W41" s="28" t="n">
        <f aca="false">CLIMATE!D41+SUMPRODUCT(($D$8:$D$40="ENSO")*($F$8:$F$40+$A$8:$A$40=$A41)*$E$8:$E$40)+SUMPRODUCT(($I$8:$I$40="ENSO")*($K$8:$K$40+$A$8:$A$40=$A41)*$J$8:$J$40)+SUMPRODUCT(($N$8:$N$40="ENSO")*($P$8:$P$40+$A$8:$A$40=$A41)*$O$8:$O$40)+SUMPRODUCT(($S$8:$S$40="ENSO")*($U$8:$U$40+$A$8:$A$40=$A41)*$T$8:$T$40)</f>
        <v>-0.609</v>
      </c>
      <c r="X41" s="28" t="n">
        <f aca="false">CLIMATE!E41+SUMPRODUCT(($D$8:$D$40="IOD")*($F$8:$F$40+$A$8:$A$40=$A41)*$E$8:$E$40)+SUMPRODUCT(($I$8:$I$40="IOD")*($K$8:$K$40+$A$8:$A$40=$A41)*$J$8:$J$40)+SUMPRODUCT(($N$8:$N$40="IOD")*($P$8:$P$40+$A$8:$A$40=$A41)*$O$8:$O$40)+SUMPRODUCT(($S$8:$S$40="IOD")*($U$8:$U$40+$A$8:$A$40=$A41)*$T$8:$T$40)</f>
        <v>0.531</v>
      </c>
      <c r="Y41" s="28" t="n">
        <f aca="false">CLIMATE!F41+SUMPRODUCT(($D$8:$D$40="NATL")*($F$8:$F$40+$A$8:$A$40=$A41)*$E$8:$E$40)+SUMPRODUCT(($I$8:$I$40="NATL")*($K$8:$K$40+$A$8:$A$40=$A41)*$J$8:$J$40)+SUMPRODUCT(($N$8:$N$40="NATL")*($P$8:$P$40+$A$8:$A$40=$A41)*$O$8:$O$40)+SUMPRODUCT(($S$8:$S$40="NATL")*($U$8:$U$40+$A$8:$A$40=$A41)*$T$8:$T$40)</f>
        <v>0.839</v>
      </c>
      <c r="Z41" s="28" t="n">
        <f aca="false">CLIMATE!G41+SUMPRODUCT(($D$8:$D$40="GLOBAL")*($F$8:$F$40+$A$8:$A$40=$A41)*$E$8:$E$40)+SUMPRODUCT(($I$8:$I$40="GLOBAL")*($K$8:$K$40+$A$8:$A$40=$A41)*$J$8:$J$40)+SUMPRODUCT(($N$8:$N$40="GLOBAL")*($P$8:$P$40+$A$8:$A$40=$A41)*$O$8:$O$40)+SUMPRODUCT(($S$8:$S$40="GLOBAL")*($U$8:$U$40+$A$8:$A$40=$A41)*$T$8:$T$40)</f>
        <v>0</v>
      </c>
      <c r="AA41" s="28" t="n">
        <f aca="false">CLIMATE!H41+IFERROR(INDEX($W$8:$W$47,$A41-GRAPH!B17),0)*GRAPH!B9+IFERROR(INDEX($X$8:$X$47,$A41-GRAPH!B18),0)*GRAPH!B10+IFERROR(INDEX($Y$8:$Y$47,$A41-GRAPH!B19),0)*GRAPH!B11+IFERROR(INDEX($Z$8:$Z$47,$A41-GRAPH!B20),0)*GRAPH!B12+SUMPRODUCT(($D$8:$D$40=REGIONS!$B$7)*($F$8:$F$40+$A$8:$A$40=$A41)*$E$8:$E$40)+SUMPRODUCT(($N$8:$N$40=REGIONS!$B$7)*($P$8:$P$40+$A$8:$A$40=$A41)*$O$8:$O$40)</f>
        <v>-0.1686</v>
      </c>
      <c r="AB41" s="28" t="n">
        <f aca="false">CLIMATE!I41+IFERROR(INDEX($W$8:$W$47,$A41-GRAPH!C17),0)*GRAPH!C9+IFERROR(INDEX($X$8:$X$47,$A41-GRAPH!C18),0)*GRAPH!C10+IFERROR(INDEX($Y$8:$Y$47,$A41-GRAPH!C19),0)*GRAPH!C11+IFERROR(INDEX($Z$8:$Z$47,$A41-GRAPH!C20),0)*GRAPH!C12+SUMPRODUCT(($D$8:$D$40=REGIONS!$B$8)*($F$8:$F$40+$A$8:$A$40=$A41)*$E$8:$E$40)+SUMPRODUCT(($N$8:$N$40=REGIONS!$B$8)*($P$8:$P$40+$A$8:$A$40=$A41)*$O$8:$O$40)</f>
        <v>0.0861</v>
      </c>
      <c r="AC41" s="28" t="n">
        <f aca="false">CLIMATE!J41+IFERROR(INDEX($W$8:$W$47,$A41-GRAPH!D17),0)*GRAPH!D9+IFERROR(INDEX($X$8:$X$47,$A41-GRAPH!D18),0)*GRAPH!D10+IFERROR(INDEX($Y$8:$Y$47,$A41-GRAPH!D19),0)*GRAPH!D11+IFERROR(INDEX($Z$8:$Z$47,$A41-GRAPH!D20),0)*GRAPH!D12+SUMPRODUCT(($D$8:$D$40=REGIONS!$B$9)*($F$8:$F$40+$A$8:$A$40=$A41)*$E$8:$E$40)+SUMPRODUCT(($N$8:$N$40=REGIONS!$B$9)*($P$8:$P$40+$A$8:$A$40=$A41)*$O$8:$O$40)</f>
        <v>0.127</v>
      </c>
      <c r="AD41" s="28" t="n">
        <f aca="false">CLIMATE!K41+IFERROR(INDEX($W$8:$W$47,$A41-GRAPH!E17),0)*GRAPH!E9+IFERROR(INDEX($X$8:$X$47,$A41-GRAPH!E18),0)*GRAPH!E10+IFERROR(INDEX($Y$8:$Y$47,$A41-GRAPH!E19),0)*GRAPH!E11+IFERROR(INDEX($Z$8:$Z$47,$A41-GRAPH!E20),0)*GRAPH!E12+SUMPRODUCT(($D$8:$D$40=REGIONS!$B$10)*($F$8:$F$40+$A$8:$A$40=$A41)*$E$8:$E$40)+SUMPRODUCT(($N$8:$N$40=REGIONS!$B$10)*($P$8:$P$40+$A$8:$A$40=$A41)*$O$8:$O$40)</f>
        <v>-0.2957</v>
      </c>
      <c r="AE41" s="28" t="n">
        <f aca="false">CLIMATE!L41+IFERROR(INDEX($W$8:$W$47,$A41-GRAPH!F17),0)*GRAPH!F9+IFERROR(INDEX($X$8:$X$47,$A41-GRAPH!F18),0)*GRAPH!F10+IFERROR(INDEX($Y$8:$Y$47,$A41-GRAPH!F19),0)*GRAPH!F11+IFERROR(INDEX($Z$8:$Z$47,$A41-GRAPH!F20),0)*GRAPH!F12+SUMPRODUCT(($D$8:$D$40=REGIONS!$B$11)*($F$8:$F$40+$A$8:$A$40=$A41)*$E$8:$E$40)+SUMPRODUCT(($N$8:$N$40=REGIONS!$B$11)*($P$8:$P$40+$A$8:$A$40=$A41)*$O$8:$O$40)</f>
        <v>-0.0382</v>
      </c>
      <c r="AF41" s="28" t="n">
        <f aca="false">CLIMATE!M41+IFERROR(INDEX($W$8:$W$47,$A41-GRAPH!G17),0)*GRAPH!G9+IFERROR(INDEX($X$8:$X$47,$A41-GRAPH!G18),0)*GRAPH!G10+IFERROR(INDEX($Y$8:$Y$47,$A41-GRAPH!G19),0)*GRAPH!G11+IFERROR(INDEX($Z$8:$Z$47,$A41-GRAPH!G20),0)*GRAPH!G12+SUMPRODUCT(($D$8:$D$40=REGIONS!$B$12)*($F$8:$F$40+$A$8:$A$40=$A41)*$E$8:$E$40)+SUMPRODUCT(($N$8:$N$40=REGIONS!$B$12)*($P$8:$P$40+$A$8:$A$40=$A41)*$O$8:$O$40)</f>
        <v>0.0264</v>
      </c>
      <c r="AG41" s="28" t="n">
        <f aca="false">CLIMATE!N41+IFERROR(INDEX($W$8:$W$47,$A41-GRAPH!H17),0)*GRAPH!H9+IFERROR(INDEX($X$8:$X$47,$A41-GRAPH!H18),0)*GRAPH!H10+IFERROR(INDEX($Y$8:$Y$47,$A41-GRAPH!H19),0)*GRAPH!H11+IFERROR(INDEX($Z$8:$Z$47,$A41-GRAPH!H20),0)*GRAPH!H12+SUMPRODUCT(($D$8:$D$40=REGIONS!$B$13)*($F$8:$F$40+$A$8:$A$40=$A41)*$E$8:$E$40)+SUMPRODUCT(($N$8:$N$40=REGIONS!$B$13)*($P$8:$P$40+$A$8:$A$40=$A41)*$O$8:$O$40)</f>
        <v>-0.2765</v>
      </c>
      <c r="AH41" s="28" t="n">
        <f aca="false">CLIMATE!O41+IFERROR(INDEX($W$8:$W$47,$A41-GRAPH!I17),0)*GRAPH!I9+IFERROR(INDEX($X$8:$X$47,$A41-GRAPH!I18),0)*GRAPH!I10+IFERROR(INDEX($Y$8:$Y$47,$A41-GRAPH!I19),0)*GRAPH!I11+IFERROR(INDEX($Z$8:$Z$47,$A41-GRAPH!I20),0)*GRAPH!I12+SUMPRODUCT(($D$8:$D$40=REGIONS!$B$14)*($F$8:$F$40+$A$8:$A$40=$A41)*$E$8:$E$40)+SUMPRODUCT(($N$8:$N$40=REGIONS!$B$14)*($P$8:$P$40+$A$8:$A$40=$A41)*$O$8:$O$40)</f>
        <v>0.6534</v>
      </c>
      <c r="AI41" s="28" t="n">
        <f aca="false">REGIONS!$F$7*(1+ASSUMPTIONS!$B$19*$A41)</f>
        <v>0.9632</v>
      </c>
      <c r="AJ41" s="28" t="n">
        <f aca="false">REGIONS!$F$8*(1+ASSUMPTIONS!$B$19*$A41)</f>
        <v>1.0836</v>
      </c>
      <c r="AK41" s="28" t="n">
        <f aca="false">REGIONS!$F$9*(1+ASSUMPTIONS!$B$19*$A41)</f>
        <v>1.0836</v>
      </c>
      <c r="AL41" s="28" t="n">
        <f aca="false">REGIONS!$F$10*(1+ASSUMPTIONS!$B$19*$A41)</f>
        <v>0.8428</v>
      </c>
      <c r="AM41" s="28" t="n">
        <f aca="false">REGIONS!$F$11*(1+ASSUMPTIONS!$B$19*$A41)</f>
        <v>0.8428</v>
      </c>
      <c r="AN41" s="28" t="n">
        <f aca="false">REGIONS!$F$12*(1+ASSUMPTIONS!$B$19*$A41)</f>
        <v>1.3244</v>
      </c>
      <c r="AO41" s="28" t="n">
        <f aca="false">REGIONS!$F$13*(1+ASSUMPTIONS!$B$19*$A41)</f>
        <v>1.4448</v>
      </c>
      <c r="AP41" s="28" t="n">
        <f aca="false">REGIONS!$F$14*(1+ASSUMPTIONS!$B$19*$A41)</f>
        <v>1.4448</v>
      </c>
      <c r="AQ41" s="11" t="n">
        <f aca="false">SUMPRODUCT(($D$8:$D$47=REGIONS!$B$7)*($A$8:$A$47&lt;=$A41)*$L$8:$L$47)+SUMPRODUCT(($N$8:$N$47=REGIONS!$B$7)*($A$8:$A$47&lt;=$A41)*$V$8:$V$47)</f>
        <v>0</v>
      </c>
      <c r="AR41" s="11" t="n">
        <f aca="false">SUMPRODUCT(($D$8:$D$47=REGIONS!$B$8)*($A$8:$A$47&lt;=$A41)*$L$8:$L$47)+SUMPRODUCT(($N$8:$N$47=REGIONS!$B$8)*($A$8:$A$47&lt;=$A41)*$V$8:$V$47)</f>
        <v>0</v>
      </c>
      <c r="AS41" s="11" t="n">
        <f aca="false">SUMPRODUCT(($D$8:$D$47=REGIONS!$B$9)*($A$8:$A$47&lt;=$A41)*$L$8:$L$47)+SUMPRODUCT(($N$8:$N$47=REGIONS!$B$9)*($A$8:$A$47&lt;=$A41)*$V$8:$V$47)</f>
        <v>0</v>
      </c>
      <c r="AT41" s="11" t="n">
        <f aca="false">SUMPRODUCT(($D$8:$D$47=REGIONS!$B$10)*($A$8:$A$47&lt;=$A41)*$L$8:$L$47)+SUMPRODUCT(($N$8:$N$47=REGIONS!$B$10)*($A$8:$A$47&lt;=$A41)*$V$8:$V$47)</f>
        <v>0</v>
      </c>
      <c r="AU41" s="11" t="n">
        <f aca="false">SUMPRODUCT(($D$8:$D$47=REGIONS!$B$11)*($A$8:$A$47&lt;=$A41)*$L$8:$L$47)+SUMPRODUCT(($N$8:$N$47=REGIONS!$B$11)*($A$8:$A$47&lt;=$A41)*$V$8:$V$47)</f>
        <v>0</v>
      </c>
      <c r="AV41" s="11" t="n">
        <f aca="false">SUMPRODUCT(($D$8:$D$47=REGIONS!$B$12)*($A$8:$A$47&lt;=$A41)*$L$8:$L$47)+SUMPRODUCT(($N$8:$N$47=REGIONS!$B$12)*($A$8:$A$47&lt;=$A41)*$V$8:$V$47)</f>
        <v>0</v>
      </c>
      <c r="AW41" s="11" t="n">
        <f aca="false">SUMPRODUCT(($D$8:$D$47=REGIONS!$B$13)*($A$8:$A$47&lt;=$A41)*$L$8:$L$47)+SUMPRODUCT(($N$8:$N$47=REGIONS!$B$13)*($A$8:$A$47&lt;=$A41)*$V$8:$V$47)</f>
        <v>0</v>
      </c>
      <c r="AX41" s="11" t="n">
        <f aca="false">SUMPRODUCT(($D$8:$D$47=REGIONS!$B$14)*($A$8:$A$47&lt;=$A41)*$L$8:$L$47)+SUMPRODUCT(($N$8:$N$47=REGIONS!$B$14)*($A$8:$A$47&lt;=$A41)*$V$8:$V$47)</f>
        <v>0</v>
      </c>
      <c r="AY41" s="12" t="n">
        <f aca="false">MAX(0,MIN(135,100-(MAX(0,-$AA41)*REGIONS!$E$7*ASSUMPTIONS!$B$7+MAX(0,$AA41-ASSUMPTIONS!$B$9)*REGIONS!$E$7*ASSUMPTIONS!$B$8)*(1-$AQ41/100)))</f>
        <v>97.6396</v>
      </c>
      <c r="AZ41" s="12" t="n">
        <f aca="false">MAX(0,MIN(135,100-(MAX(0,-$AB41)*REGIONS!$E$8*ASSUMPTIONS!$B$7+MAX(0,$AB41-ASSUMPTIONS!$B$9)*REGIONS!$E$8*ASSUMPTIONS!$B$8)*(1-$AR41/100)))</f>
        <v>100</v>
      </c>
      <c r="BA41" s="12" t="n">
        <f aca="false">MAX(0,MIN(135,100-(MAX(0,-$AC41)*REGIONS!$E$9*ASSUMPTIONS!$B$7+MAX(0,$AC41-ASSUMPTIONS!$B$9)*REGIONS!$E$9*ASSUMPTIONS!$B$8)*(1-$AS41/100)))</f>
        <v>100</v>
      </c>
      <c r="BB41" s="12" t="n">
        <f aca="false">MAX(0,MIN(135,100-(MAX(0,-$AD41)*REGIONS!$E$10*ASSUMPTIONS!$B$7+MAX(0,$AD41-ASSUMPTIONS!$B$9)*REGIONS!$E$10*ASSUMPTIONS!$B$8)*(1-$AT41/100)))</f>
        <v>95.03224</v>
      </c>
      <c r="BC41" s="12" t="n">
        <f aca="false">MAX(0,MIN(135,100-(MAX(0,-$AE41)*REGIONS!$E$11*ASSUMPTIONS!$B$7+MAX(0,$AE41-ASSUMPTIONS!$B$9)*REGIONS!$E$11*ASSUMPTIONS!$B$8)*(1-$AU41/100)))</f>
        <v>99.41172</v>
      </c>
      <c r="BD41" s="12" t="n">
        <f aca="false">MAX(0,MIN(135,100-(MAX(0,-$AF41)*REGIONS!$E$12*ASSUMPTIONS!$B$7+MAX(0,$AF41-ASSUMPTIONS!$B$9)*REGIONS!$E$12*ASSUMPTIONS!$B$8)*(1-$AV41/100)))</f>
        <v>100</v>
      </c>
      <c r="BE41" s="12" t="n">
        <f aca="false">MAX(0,MIN(135,100-(MAX(0,-$AG41)*REGIONS!$E$13*ASSUMPTIONS!$B$7+MAX(0,$AG41-ASSUMPTIONS!$B$9)*REGIONS!$E$13*ASSUMPTIONS!$B$8)*(1-$AW41/100)))</f>
        <v>94.5806</v>
      </c>
      <c r="BF41" s="12" t="n">
        <f aca="false">MAX(0,MIN(135,100-(MAX(0,-$AH41)*REGIONS!$E$14*ASSUMPTIONS!$B$7+MAX(0,$AH41-ASSUMPTIONS!$B$9)*REGIONS!$E$14*ASSUMPTIONS!$B$8)*(1-$AX41/100)))</f>
        <v>100</v>
      </c>
      <c r="BG41" s="12" t="n">
        <f aca="false">$AY41*REGIONS!$D$7/100+$AZ41*REGIONS!$D$8/100+$BA41*REGIONS!$D$9/100+$BB41*REGIONS!$D$10/100+$BC41*REGIONS!$D$11/100+$BD41*REGIONS!$D$12/100+$BE41*REGIONS!$D$13/100+$BF41*REGIONS!$D$14/100</f>
        <v>98.2379656</v>
      </c>
      <c r="BH41" s="12" t="n">
        <f aca="false">100*(100/MAX(1,$BG41))^ASSUMPTIONS!$B$10</f>
        <v>103.251685945625</v>
      </c>
      <c r="BI41" s="12" t="n">
        <f aca="false">$AY41*$BH41/100*ASSUMPTIONS!$B$11</f>
        <v>85.6923531779801</v>
      </c>
      <c r="BJ41" s="28" t="n">
        <f aca="false">MAX(0,ABS($AA41)-$AI41*ASSUMPTIONS!$B$24)*REGIONS!$D$7/100+MAX(0,ABS($AB41)-$AJ41*ASSUMPTIONS!$B$24)*REGIONS!$D$8/100+MAX(0,ABS($AC41)-$AK41*ASSUMPTIONS!$B$24)*REGIONS!$D$9/100+MAX(0,ABS($AD41)-$AL41*ASSUMPTIONS!$B$24)*REGIONS!$D$10/100+MAX(0,ABS($AE41)-$AM41*ASSUMPTIONS!$B$24)*REGIONS!$D$11/100+MAX(0,ABS($AF41)-$AN41*ASSUMPTIONS!$B$24)*REGIONS!$D$12/100+MAX(0,ABS($AG41)-$AO41*ASSUMPTIONS!$B$24)*REGIONS!$D$13/100+MAX(0,ABS($AH41)-$AP41*ASSUMPTIONS!$B$24)*REGIONS!$D$14/100</f>
        <v>0</v>
      </c>
      <c r="BK41" s="12" t="n">
        <f aca="false">MIN(ASSUMPTIONS!$B$14,ASSUMPTIONS!$B$12+$BJ41*ASSUMPTIONS!$B$13)</f>
        <v>28</v>
      </c>
      <c r="BL41" s="11" t="n">
        <f aca="false">$H41+$R41</f>
        <v>0</v>
      </c>
      <c r="BM41" s="11" t="n">
        <f aca="false">PLAY!$H41</f>
        <v>0</v>
      </c>
      <c r="BN41" s="12" t="n">
        <f aca="false">$BI41*ASSUMPTIONS!$B$15+$BK41*ASSUMPTIONS!$B$16</f>
        <v>35.4830823813576</v>
      </c>
      <c r="BO41" s="12" t="n">
        <f aca="false">$BO40+$BN41-$BL41-$BM41-ASSUMPTIONS!$B$23</f>
        <v>273.521998171828</v>
      </c>
      <c r="BP41" s="12" t="n">
        <f aca="false">(SUMPRODUCT(($F$8:$F$40+$A$8:$A$40=$A41)*($C$8:$C$40&lt;&gt;"NONE")*$G$8:$G$40)+SUMPRODUCT(($P$8:$P$40+$A$8:$A$40=$A41)*($M$8:$M$40&lt;&gt;"NONE")*$Q$8:$Q$40))*(1+ASSUMPTIONS!$B$22*(MAX(0,ABS($AA41)/$AI41-1)+MAX(0,ABS($AB41)/$AJ41-1)+MAX(0,ABS($AC41)/$AK41-1)+MAX(0,ABS($AD41)/$AL41-1)+MAX(0,ABS($AE41)/$AM41-1)+MAX(0,ABS($AF41)/$AN41-1)+MAX(0,ABS($AG41)/$AO41-1)+MAX(0,ABS($AH41)/$AP41-1))/8)</f>
        <v>0</v>
      </c>
      <c r="BQ41" s="12" t="n">
        <f aca="false">MAX(0,$BQ40*(1-ASSUMPTIONS!$B$18)+$BP41-$BM41*ASSUMPTIONS!$B$17)</f>
        <v>0.571977962343963</v>
      </c>
    </row>
    <row r="42" customFormat="false" ht="15" hidden="false" customHeight="false" outlineLevel="0" collapsed="false">
      <c r="A42" s="13" t="n">
        <v>35</v>
      </c>
      <c r="B42" s="11" t="n">
        <f aca="false">CLIMATE!B42</f>
        <v>1954</v>
      </c>
      <c r="C42" s="13" t="str">
        <f aca="false">IFERROR(INDEX(CAPABILITIES!$B$7:$B$15,MATCH(PLAY!$D42,CAPABILITIES!$A$7:$A$15,0)),"NONE")</f>
        <v>NONE</v>
      </c>
      <c r="D42" s="13" t="n">
        <f aca="false">IFERROR(IF(INDEX(CAPABILITIES!$B$7:$B$15,MATCH(PLAY!$D42,CAPABILITIES!$A$7:$A$15,0))="DRIVER",INDEX(CAPABILITIES!$C$7:$C$15,MATCH(PLAY!$D42,CAPABILITIES!$A$7:$A$15,0)),PLAY!$E42),"")</f>
        <v>0</v>
      </c>
      <c r="E42" s="13" t="n">
        <f aca="false">IFERROR(INDEX(CAPABILITIES!$D$7:$D$15,MATCH(PLAY!$D42,CAPABILITIES!$A$7:$A$15,0))*IF(INDEX(CAPABILITIES!$K$7:$K$15,MATCH(PLAY!$D42,CAPABILITIES!$A$7:$A$15,0))="Y",IF(IFERROR(INDEX($AA41:$AH41,MATCH(PLAY!$E42,REGIONS!$B$7:$B$14,0)),0)&lt;ASSUMPTIONS!$B$20,1,ASSUMPTIONS!$B$21),1),0)</f>
        <v>0</v>
      </c>
      <c r="F42" s="13" t="n">
        <f aca="false">IFERROR(INDEX(CAPABILITIES!$E$7:$E$15,MATCH(PLAY!$D42,CAPABILITIES!$A$7:$A$15,0)),0)</f>
        <v>0</v>
      </c>
      <c r="G42" s="13" t="n">
        <f aca="false">IFERROR(INDEX(CAPABILITIES!$F$7:$F$15,MATCH(PLAY!$D42,CAPABILITIES!$A$7:$A$15,0)),0)</f>
        <v>0</v>
      </c>
      <c r="H42" s="13" t="n">
        <f aca="false">IFERROR(INDEX(CAPABILITIES!$G$7:$G$15,MATCH(PLAY!$D42,CAPABILITIES!$A$7:$A$15,0)),0)</f>
        <v>0</v>
      </c>
      <c r="I42" s="13" t="n">
        <f aca="false">IFERROR(INDEX(CAPABILITIES!$H$7:$H$15,MATCH(PLAY!$D42,CAPABILITIES!$A$7:$A$15,0)),"")</f>
        <v>0</v>
      </c>
      <c r="J42" s="13" t="n">
        <f aca="false">IFERROR(INDEX(CAPABILITIES!$D$7:$D$15,MATCH(PLAY!$D42,CAPABILITIES!$A$7:$A$15,0))*INDEX(CAPABILITIES!$I$7:$I$15,MATCH(PLAY!$D42,CAPABILITIES!$A$7:$A$15,0)),0)</f>
        <v>0</v>
      </c>
      <c r="K42" s="13" t="n">
        <f aca="false">IFERROR(INDEX(CAPABILITIES!$E$7:$E$15,MATCH(PLAY!$D42,CAPABILITIES!$A$7:$A$15,0))+INDEX(CAPABILITIES!$J$7:$J$15,MATCH(PLAY!$D42,CAPABILITIES!$A$7:$A$15,0)),0)</f>
        <v>0</v>
      </c>
      <c r="L42" s="13" t="n">
        <f aca="false">IFERROR(INDEX(CAPABILITIES!$L$7:$L$15,MATCH(PLAY!$D42,CAPABILITIES!$A$7:$A$15,0)),0)</f>
        <v>0</v>
      </c>
      <c r="M42" s="13" t="str">
        <f aca="false">IFERROR(INDEX(CAPABILITIES!$B$7:$B$15,MATCH(PLAY!$F42,CAPABILITIES!$A$7:$A$15,0)),"NONE")</f>
        <v>NONE</v>
      </c>
      <c r="N42" s="13" t="n">
        <f aca="false">IFERROR(IF(INDEX(CAPABILITIES!$B$7:$B$15,MATCH(PLAY!$F42,CAPABILITIES!$A$7:$A$15,0))="DRIVER",INDEX(CAPABILITIES!$C$7:$C$15,MATCH(PLAY!$F42,CAPABILITIES!$A$7:$A$15,0)),PLAY!$G42),"")</f>
        <v>0</v>
      </c>
      <c r="O42" s="13" t="n">
        <f aca="false">IFERROR(INDEX(CAPABILITIES!$D$7:$D$15,MATCH(PLAY!$F42,CAPABILITIES!$A$7:$A$15,0))*IF(INDEX(CAPABILITIES!$K$7:$K$15,MATCH(PLAY!$F42,CAPABILITIES!$A$7:$A$15,0))="Y",IF(IFERROR(INDEX($AA41:$AH41,MATCH(PLAY!$G42,REGIONS!$B$7:$B$14,0)),0)&lt;ASSUMPTIONS!$B$20,1,ASSUMPTIONS!$B$21),1),0)</f>
        <v>0</v>
      </c>
      <c r="P42" s="13" t="n">
        <f aca="false">IFERROR(INDEX(CAPABILITIES!$E$7:$E$15,MATCH(PLAY!$F42,CAPABILITIES!$A$7:$A$15,0)),0)</f>
        <v>0</v>
      </c>
      <c r="Q42" s="13" t="n">
        <f aca="false">IFERROR(INDEX(CAPABILITIES!$F$7:$F$15,MATCH(PLAY!$F42,CAPABILITIES!$A$7:$A$15,0)),0)</f>
        <v>0</v>
      </c>
      <c r="R42" s="13" t="n">
        <f aca="false">IFERROR(INDEX(CAPABILITIES!$G$7:$G$15,MATCH(PLAY!$F42,CAPABILITIES!$A$7:$A$15,0)),0)</f>
        <v>0</v>
      </c>
      <c r="S42" s="13" t="n">
        <f aca="false">IFERROR(INDEX(CAPABILITIES!$H$7:$H$15,MATCH(PLAY!$F42,CAPABILITIES!$A$7:$A$15,0)),"")</f>
        <v>0</v>
      </c>
      <c r="T42" s="13" t="n">
        <f aca="false">IFERROR(INDEX(CAPABILITIES!$D$7:$D$15,MATCH(PLAY!$F42,CAPABILITIES!$A$7:$A$15,0))*INDEX(CAPABILITIES!$I$7:$I$15,MATCH(PLAY!$F42,CAPABILITIES!$A$7:$A$15,0)),0)</f>
        <v>0</v>
      </c>
      <c r="U42" s="13" t="n">
        <f aca="false">IFERROR(INDEX(CAPABILITIES!$E$7:$E$15,MATCH(PLAY!$F42,CAPABILITIES!$A$7:$A$15,0))+INDEX(CAPABILITIES!$J$7:$J$15,MATCH(PLAY!$F42,CAPABILITIES!$A$7:$A$15,0)),0)</f>
        <v>0</v>
      </c>
      <c r="V42" s="13" t="n">
        <f aca="false">IFERROR(INDEX(CAPABILITIES!$L$7:$L$15,MATCH(PLAY!$F42,CAPABILITIES!$A$7:$A$15,0)),0)</f>
        <v>0</v>
      </c>
      <c r="W42" s="28" t="n">
        <f aca="false">CLIMATE!D42+SUMPRODUCT(($D$8:$D$41="ENSO")*($F$8:$F$41+$A$8:$A$41=$A42)*$E$8:$E$41)+SUMPRODUCT(($I$8:$I$41="ENSO")*($K$8:$K$41+$A$8:$A$41=$A42)*$J$8:$J$41)+SUMPRODUCT(($N$8:$N$41="ENSO")*($P$8:$P$41+$A$8:$A$41=$A42)*$O$8:$O$41)+SUMPRODUCT(($S$8:$S$41="ENSO")*($U$8:$U$41+$A$8:$A$41=$A42)*$T$8:$T$41)</f>
        <v>-0.288</v>
      </c>
      <c r="X42" s="28" t="n">
        <f aca="false">CLIMATE!E42+SUMPRODUCT(($D$8:$D$41="IOD")*($F$8:$F$41+$A$8:$A$41=$A42)*$E$8:$E$41)+SUMPRODUCT(($I$8:$I$41="IOD")*($K$8:$K$41+$A$8:$A$41=$A42)*$J$8:$J$41)+SUMPRODUCT(($N$8:$N$41="IOD")*($P$8:$P$41+$A$8:$A$41=$A42)*$O$8:$O$41)+SUMPRODUCT(($S$8:$S$41="IOD")*($U$8:$U$41+$A$8:$A$41=$A42)*$T$8:$T$41)</f>
        <v>0.933</v>
      </c>
      <c r="Y42" s="28" t="n">
        <f aca="false">CLIMATE!F42+SUMPRODUCT(($D$8:$D$41="NATL")*($F$8:$F$41+$A$8:$A$41=$A42)*$E$8:$E$41)+SUMPRODUCT(($I$8:$I$41="NATL")*($K$8:$K$41+$A$8:$A$41=$A42)*$J$8:$J$41)+SUMPRODUCT(($N$8:$N$41="NATL")*($P$8:$P$41+$A$8:$A$41=$A42)*$O$8:$O$41)+SUMPRODUCT(($S$8:$S$41="NATL")*($U$8:$U$41+$A$8:$A$41=$A42)*$T$8:$T$41)</f>
        <v>0.597</v>
      </c>
      <c r="Z42" s="28" t="n">
        <f aca="false">CLIMATE!G42+SUMPRODUCT(($D$8:$D$41="GLOBAL")*($F$8:$F$41+$A$8:$A$41=$A42)*$E$8:$E$41)+SUMPRODUCT(($I$8:$I$41="GLOBAL")*($K$8:$K$41+$A$8:$A$41=$A42)*$J$8:$J$41)+SUMPRODUCT(($N$8:$N$41="GLOBAL")*($P$8:$P$41+$A$8:$A$41=$A42)*$O$8:$O$41)+SUMPRODUCT(($S$8:$S$41="GLOBAL")*($U$8:$U$41+$A$8:$A$41=$A42)*$T$8:$T$41)</f>
        <v>0</v>
      </c>
      <c r="AA42" s="28" t="n">
        <f aca="false">CLIMATE!H42+IFERROR(INDEX($W$8:$W$47,$A42-GRAPH!B17),0)*GRAPH!B9+IFERROR(INDEX($X$8:$X$47,$A42-GRAPH!B18),0)*GRAPH!B10+IFERROR(INDEX($Y$8:$Y$47,$A42-GRAPH!B19),0)*GRAPH!B11+IFERROR(INDEX($Z$8:$Z$47,$A42-GRAPH!B20),0)*GRAPH!B12+SUMPRODUCT(($D$8:$D$41=REGIONS!$B$7)*($F$8:$F$41+$A$8:$A$41=$A42)*$E$8:$E$41)+SUMPRODUCT(($N$8:$N$41=REGIONS!$B$7)*($P$8:$P$41+$A$8:$A$41=$A42)*$O$8:$O$41)</f>
        <v>-0.4706</v>
      </c>
      <c r="AB42" s="28" t="n">
        <f aca="false">CLIMATE!I42+IFERROR(INDEX($W$8:$W$47,$A42-GRAPH!C17),0)*GRAPH!C9+IFERROR(INDEX($X$8:$X$47,$A42-GRAPH!C18),0)*GRAPH!C10+IFERROR(INDEX($Y$8:$Y$47,$A42-GRAPH!C19),0)*GRAPH!C11+IFERROR(INDEX($Z$8:$Z$47,$A42-GRAPH!C20),0)*GRAPH!C12+SUMPRODUCT(($D$8:$D$41=REGIONS!$B$8)*($F$8:$F$41+$A$8:$A$41=$A42)*$E$8:$E$41)+SUMPRODUCT(($N$8:$N$41=REGIONS!$B$8)*($P$8:$P$41+$A$8:$A$41=$A42)*$O$8:$O$41)</f>
        <v>0.1068</v>
      </c>
      <c r="AC42" s="28" t="n">
        <f aca="false">CLIMATE!J42+IFERROR(INDEX($W$8:$W$47,$A42-GRAPH!D17),0)*GRAPH!D9+IFERROR(INDEX($X$8:$X$47,$A42-GRAPH!D18),0)*GRAPH!D10+IFERROR(INDEX($Y$8:$Y$47,$A42-GRAPH!D19),0)*GRAPH!D11+IFERROR(INDEX($Z$8:$Z$47,$A42-GRAPH!D20),0)*GRAPH!D12+SUMPRODUCT(($D$8:$D$41=REGIONS!$B$9)*($F$8:$F$41+$A$8:$A$41=$A42)*$E$8:$E$41)+SUMPRODUCT(($N$8:$N$41=REGIONS!$B$9)*($P$8:$P$41+$A$8:$A$41=$A42)*$O$8:$O$41)</f>
        <v>0.155</v>
      </c>
      <c r="AD42" s="28" t="n">
        <f aca="false">CLIMATE!K42+IFERROR(INDEX($W$8:$W$47,$A42-GRAPH!E17),0)*GRAPH!E9+IFERROR(INDEX($X$8:$X$47,$A42-GRAPH!E18),0)*GRAPH!E10+IFERROR(INDEX($Y$8:$Y$47,$A42-GRAPH!E19),0)*GRAPH!E11+IFERROR(INDEX($Z$8:$Z$47,$A42-GRAPH!E20),0)*GRAPH!E12+SUMPRODUCT(($D$8:$D$41=REGIONS!$B$10)*($F$8:$F$41+$A$8:$A$41=$A42)*$E$8:$E$41)+SUMPRODUCT(($N$8:$N$41=REGIONS!$B$10)*($P$8:$P$41+$A$8:$A$41=$A42)*$O$8:$O$41)</f>
        <v>0.1812</v>
      </c>
      <c r="AE42" s="28" t="n">
        <f aca="false">CLIMATE!L42+IFERROR(INDEX($W$8:$W$47,$A42-GRAPH!F17),0)*GRAPH!F9+IFERROR(INDEX($X$8:$X$47,$A42-GRAPH!F18),0)*GRAPH!F10+IFERROR(INDEX($Y$8:$Y$47,$A42-GRAPH!F19),0)*GRAPH!F11+IFERROR(INDEX($Z$8:$Z$47,$A42-GRAPH!F20),0)*GRAPH!F12+SUMPRODUCT(($D$8:$D$41=REGIONS!$B$11)*($F$8:$F$41+$A$8:$A$41=$A42)*$E$8:$E$41)+SUMPRODUCT(($N$8:$N$41=REGIONS!$B$11)*($P$8:$P$41+$A$8:$A$41=$A42)*$O$8:$O$41)</f>
        <v>0.5781</v>
      </c>
      <c r="AF42" s="28" t="n">
        <f aca="false">CLIMATE!M42+IFERROR(INDEX($W$8:$W$47,$A42-GRAPH!G17),0)*GRAPH!G9+IFERROR(INDEX($X$8:$X$47,$A42-GRAPH!G18),0)*GRAPH!G10+IFERROR(INDEX($Y$8:$Y$47,$A42-GRAPH!G19),0)*GRAPH!G11+IFERROR(INDEX($Z$8:$Z$47,$A42-GRAPH!G20),0)*GRAPH!G12+SUMPRODUCT(($D$8:$D$41=REGIONS!$B$12)*($F$8:$F$41+$A$8:$A$41=$A42)*$E$8:$E$41)+SUMPRODUCT(($N$8:$N$41=REGIONS!$B$12)*($P$8:$P$41+$A$8:$A$41=$A42)*$O$8:$O$41)</f>
        <v>0.5035</v>
      </c>
      <c r="AG42" s="28" t="n">
        <f aca="false">CLIMATE!N42+IFERROR(INDEX($W$8:$W$47,$A42-GRAPH!H17),0)*GRAPH!H9+IFERROR(INDEX($X$8:$X$47,$A42-GRAPH!H18),0)*GRAPH!H10+IFERROR(INDEX($Y$8:$Y$47,$A42-GRAPH!H19),0)*GRAPH!H11+IFERROR(INDEX($Z$8:$Z$47,$A42-GRAPH!H20),0)*GRAPH!H12+SUMPRODUCT(($D$8:$D$41=REGIONS!$B$13)*($F$8:$F$41+$A$8:$A$41=$A42)*$E$8:$E$41)+SUMPRODUCT(($N$8:$N$41=REGIONS!$B$13)*($P$8:$P$41+$A$8:$A$41=$A42)*$O$8:$O$41)</f>
        <v>0.2295</v>
      </c>
      <c r="AH42" s="28" t="n">
        <f aca="false">CLIMATE!O42+IFERROR(INDEX($W$8:$W$47,$A42-GRAPH!I17),0)*GRAPH!I9+IFERROR(INDEX($X$8:$X$47,$A42-GRAPH!I18),0)*GRAPH!I10+IFERROR(INDEX($Y$8:$Y$47,$A42-GRAPH!I19),0)*GRAPH!I11+IFERROR(INDEX($Z$8:$Z$47,$A42-GRAPH!I20),0)*GRAPH!I12+SUMPRODUCT(($D$8:$D$41=REGIONS!$B$14)*($F$8:$F$41+$A$8:$A$41=$A42)*$E$8:$E$41)+SUMPRODUCT(($N$8:$N$41=REGIONS!$B$14)*($P$8:$P$41+$A$8:$A$41=$A42)*$O$8:$O$41)</f>
        <v>0.3778</v>
      </c>
      <c r="AI42" s="28" t="n">
        <f aca="false">REGIONS!$F$7*(1+ASSUMPTIONS!$B$19*$A42)</f>
        <v>0.968</v>
      </c>
      <c r="AJ42" s="28" t="n">
        <f aca="false">REGIONS!$F$8*(1+ASSUMPTIONS!$B$19*$A42)</f>
        <v>1.089</v>
      </c>
      <c r="AK42" s="28" t="n">
        <f aca="false">REGIONS!$F$9*(1+ASSUMPTIONS!$B$19*$A42)</f>
        <v>1.089</v>
      </c>
      <c r="AL42" s="28" t="n">
        <f aca="false">REGIONS!$F$10*(1+ASSUMPTIONS!$B$19*$A42)</f>
        <v>0.847</v>
      </c>
      <c r="AM42" s="28" t="n">
        <f aca="false">REGIONS!$F$11*(1+ASSUMPTIONS!$B$19*$A42)</f>
        <v>0.847</v>
      </c>
      <c r="AN42" s="28" t="n">
        <f aca="false">REGIONS!$F$12*(1+ASSUMPTIONS!$B$19*$A42)</f>
        <v>1.331</v>
      </c>
      <c r="AO42" s="28" t="n">
        <f aca="false">REGIONS!$F$13*(1+ASSUMPTIONS!$B$19*$A42)</f>
        <v>1.452</v>
      </c>
      <c r="AP42" s="28" t="n">
        <f aca="false">REGIONS!$F$14*(1+ASSUMPTIONS!$B$19*$A42)</f>
        <v>1.452</v>
      </c>
      <c r="AQ42" s="11" t="n">
        <f aca="false">SUMPRODUCT(($D$8:$D$47=REGIONS!$B$7)*($A$8:$A$47&lt;=$A42)*$L$8:$L$47)+SUMPRODUCT(($N$8:$N$47=REGIONS!$B$7)*($A$8:$A$47&lt;=$A42)*$V$8:$V$47)</f>
        <v>0</v>
      </c>
      <c r="AR42" s="11" t="n">
        <f aca="false">SUMPRODUCT(($D$8:$D$47=REGIONS!$B$8)*($A$8:$A$47&lt;=$A42)*$L$8:$L$47)+SUMPRODUCT(($N$8:$N$47=REGIONS!$B$8)*($A$8:$A$47&lt;=$A42)*$V$8:$V$47)</f>
        <v>0</v>
      </c>
      <c r="AS42" s="11" t="n">
        <f aca="false">SUMPRODUCT(($D$8:$D$47=REGIONS!$B$9)*($A$8:$A$47&lt;=$A42)*$L$8:$L$47)+SUMPRODUCT(($N$8:$N$47=REGIONS!$B$9)*($A$8:$A$47&lt;=$A42)*$V$8:$V$47)</f>
        <v>0</v>
      </c>
      <c r="AT42" s="11" t="n">
        <f aca="false">SUMPRODUCT(($D$8:$D$47=REGIONS!$B$10)*($A$8:$A$47&lt;=$A42)*$L$8:$L$47)+SUMPRODUCT(($N$8:$N$47=REGIONS!$B$10)*($A$8:$A$47&lt;=$A42)*$V$8:$V$47)</f>
        <v>0</v>
      </c>
      <c r="AU42" s="11" t="n">
        <f aca="false">SUMPRODUCT(($D$8:$D$47=REGIONS!$B$11)*($A$8:$A$47&lt;=$A42)*$L$8:$L$47)+SUMPRODUCT(($N$8:$N$47=REGIONS!$B$11)*($A$8:$A$47&lt;=$A42)*$V$8:$V$47)</f>
        <v>0</v>
      </c>
      <c r="AV42" s="11" t="n">
        <f aca="false">SUMPRODUCT(($D$8:$D$47=REGIONS!$B$12)*($A$8:$A$47&lt;=$A42)*$L$8:$L$47)+SUMPRODUCT(($N$8:$N$47=REGIONS!$B$12)*($A$8:$A$47&lt;=$A42)*$V$8:$V$47)</f>
        <v>0</v>
      </c>
      <c r="AW42" s="11" t="n">
        <f aca="false">SUMPRODUCT(($D$8:$D$47=REGIONS!$B$13)*($A$8:$A$47&lt;=$A42)*$L$8:$L$47)+SUMPRODUCT(($N$8:$N$47=REGIONS!$B$13)*($A$8:$A$47&lt;=$A42)*$V$8:$V$47)</f>
        <v>0</v>
      </c>
      <c r="AX42" s="11" t="n">
        <f aca="false">SUMPRODUCT(($D$8:$D$47=REGIONS!$B$14)*($A$8:$A$47&lt;=$A42)*$L$8:$L$47)+SUMPRODUCT(($N$8:$N$47=REGIONS!$B$14)*($A$8:$A$47&lt;=$A42)*$V$8:$V$47)</f>
        <v>0</v>
      </c>
      <c r="AY42" s="12" t="n">
        <f aca="false">MAX(0,MIN(135,100-(MAX(0,-$AA42)*REGIONS!$E$7*ASSUMPTIONS!$B$7+MAX(0,$AA42-ASSUMPTIONS!$B$9)*REGIONS!$E$7*ASSUMPTIONS!$B$8)*(1-$AQ42/100)))</f>
        <v>93.4116</v>
      </c>
      <c r="AZ42" s="12" t="n">
        <f aca="false">MAX(0,MIN(135,100-(MAX(0,-$AB42)*REGIONS!$E$8*ASSUMPTIONS!$B$7+MAX(0,$AB42-ASSUMPTIONS!$B$9)*REGIONS!$E$8*ASSUMPTIONS!$B$8)*(1-$AR42/100)))</f>
        <v>100</v>
      </c>
      <c r="BA42" s="12" t="n">
        <f aca="false">MAX(0,MIN(135,100-(MAX(0,-$AC42)*REGIONS!$E$9*ASSUMPTIONS!$B$7+MAX(0,$AC42-ASSUMPTIONS!$B$9)*REGIONS!$E$9*ASSUMPTIONS!$B$8)*(1-$AS42/100)))</f>
        <v>100</v>
      </c>
      <c r="BB42" s="12" t="n">
        <f aca="false">MAX(0,MIN(135,100-(MAX(0,-$AD42)*REGIONS!$E$10*ASSUMPTIONS!$B$7+MAX(0,$AD42-ASSUMPTIONS!$B$9)*REGIONS!$E$10*ASSUMPTIONS!$B$8)*(1-$AT42/100)))</f>
        <v>100</v>
      </c>
      <c r="BC42" s="12" t="n">
        <f aca="false">MAX(0,MIN(135,100-(MAX(0,-$AE42)*REGIONS!$E$11*ASSUMPTIONS!$B$7+MAX(0,$AE42-ASSUMPTIONS!$B$9)*REGIONS!$E$11*ASSUMPTIONS!$B$8)*(1-$AU42/100)))</f>
        <v>100</v>
      </c>
      <c r="BD42" s="12" t="n">
        <f aca="false">MAX(0,MIN(135,100-(MAX(0,-$AF42)*REGIONS!$E$12*ASSUMPTIONS!$B$7+MAX(0,$AF42-ASSUMPTIONS!$B$9)*REGIONS!$E$12*ASSUMPTIONS!$B$8)*(1-$AV42/100)))</f>
        <v>100</v>
      </c>
      <c r="BE42" s="12" t="n">
        <f aca="false">MAX(0,MIN(135,100-(MAX(0,-$AG42)*REGIONS!$E$13*ASSUMPTIONS!$B$7+MAX(0,$AG42-ASSUMPTIONS!$B$9)*REGIONS!$E$13*ASSUMPTIONS!$B$8)*(1-$AW42/100)))</f>
        <v>100</v>
      </c>
      <c r="BF42" s="12" t="n">
        <f aca="false">MAX(0,MIN(135,100-(MAX(0,-$AH42)*REGIONS!$E$14*ASSUMPTIONS!$B$7+MAX(0,$AH42-ASSUMPTIONS!$B$9)*REGIONS!$E$14*ASSUMPTIONS!$B$8)*(1-$AX42/100)))</f>
        <v>100</v>
      </c>
      <c r="BG42" s="12" t="n">
        <f aca="false">$AY42*REGIONS!$D$7/100+$AZ42*REGIONS!$D$8/100+$BA42*REGIONS!$D$9/100+$BB42*REGIONS!$D$10/100+$BC42*REGIONS!$D$11/100+$BD42*REGIONS!$D$12/100+$BE42*REGIONS!$D$13/100+$BF42*REGIONS!$D$14/100</f>
        <v>98.68232</v>
      </c>
      <c r="BH42" s="12" t="n">
        <f aca="false">100*(100/MAX(1,$BG42))^ASSUMPTIONS!$B$10</f>
        <v>102.416320282861</v>
      </c>
      <c r="BI42" s="12" t="n">
        <f aca="false">$AY42*$BH42/100*ASSUMPTIONS!$B$11</f>
        <v>81.3184149217432</v>
      </c>
      <c r="BJ42" s="28" t="n">
        <f aca="false">MAX(0,ABS($AA42)-$AI42*ASSUMPTIONS!$B$24)*REGIONS!$D$7/100+MAX(0,ABS($AB42)-$AJ42*ASSUMPTIONS!$B$24)*REGIONS!$D$8/100+MAX(0,ABS($AC42)-$AK42*ASSUMPTIONS!$B$24)*REGIONS!$D$9/100+MAX(0,ABS($AD42)-$AL42*ASSUMPTIONS!$B$24)*REGIONS!$D$10/100+MAX(0,ABS($AE42)-$AM42*ASSUMPTIONS!$B$24)*REGIONS!$D$11/100+MAX(0,ABS($AF42)-$AN42*ASSUMPTIONS!$B$24)*REGIONS!$D$12/100+MAX(0,ABS($AG42)-$AO42*ASSUMPTIONS!$B$24)*REGIONS!$D$13/100+MAX(0,ABS($AH42)-$AP42*ASSUMPTIONS!$B$24)*REGIONS!$D$14/100</f>
        <v>0</v>
      </c>
      <c r="BK42" s="12" t="n">
        <f aca="false">MIN(ASSUMPTIONS!$B$14,ASSUMPTIONS!$B$12+$BJ42*ASSUMPTIONS!$B$13)</f>
        <v>28</v>
      </c>
      <c r="BL42" s="11" t="n">
        <f aca="false">$H42+$R42</f>
        <v>0</v>
      </c>
      <c r="BM42" s="11" t="n">
        <f aca="false">PLAY!$H42</f>
        <v>0</v>
      </c>
      <c r="BN42" s="12" t="n">
        <f aca="false">$BI42*ASSUMPTIONS!$B$15+$BK42*ASSUMPTIONS!$B$16</f>
        <v>34.9582097906092</v>
      </c>
      <c r="BO42" s="12" t="n">
        <f aca="false">$BO41+$BN42-$BL42-$BM42-ASSUMPTIONS!$B$23</f>
        <v>276.480207962438</v>
      </c>
      <c r="BP42" s="12" t="n">
        <f aca="false">(SUMPRODUCT(($F$8:$F$41+$A$8:$A$41=$A42)*($C$8:$C$41&lt;&gt;"NONE")*$G$8:$G$41)+SUMPRODUCT(($P$8:$P$41+$A$8:$A$41=$A42)*($M$8:$M$41&lt;&gt;"NONE")*$Q$8:$Q$41))*(1+ASSUMPTIONS!$B$22*(MAX(0,ABS($AA42)/$AI42-1)+MAX(0,ABS($AB42)/$AJ42-1)+MAX(0,ABS($AC42)/$AK42-1)+MAX(0,ABS($AD42)/$AL42-1)+MAX(0,ABS($AE42)/$AM42-1)+MAX(0,ABS($AF42)/$AN42-1)+MAX(0,ABS($AG42)/$AO42-1)+MAX(0,ABS($AH42)/$AP42-1))/8)</f>
        <v>0</v>
      </c>
      <c r="BQ42" s="12" t="n">
        <f aca="false">MAX(0,$BQ41*(1-ASSUMPTIONS!$B$18)+$BP42-$BM42*ASSUMPTIONS!$B$17)</f>
        <v>0.549098843850205</v>
      </c>
    </row>
    <row r="43" customFormat="false" ht="15" hidden="false" customHeight="false" outlineLevel="0" collapsed="false">
      <c r="A43" s="13" t="n">
        <v>36</v>
      </c>
      <c r="B43" s="11" t="n">
        <f aca="false">CLIMATE!B43</f>
        <v>1954</v>
      </c>
      <c r="C43" s="13" t="str">
        <f aca="false">IFERROR(INDEX(CAPABILITIES!$B$7:$B$15,MATCH(PLAY!$D43,CAPABILITIES!$A$7:$A$15,0)),"NONE")</f>
        <v>NONE</v>
      </c>
      <c r="D43" s="13" t="n">
        <f aca="false">IFERROR(IF(INDEX(CAPABILITIES!$B$7:$B$15,MATCH(PLAY!$D43,CAPABILITIES!$A$7:$A$15,0))="DRIVER",INDEX(CAPABILITIES!$C$7:$C$15,MATCH(PLAY!$D43,CAPABILITIES!$A$7:$A$15,0)),PLAY!$E43),"")</f>
        <v>0</v>
      </c>
      <c r="E43" s="13" t="n">
        <f aca="false">IFERROR(INDEX(CAPABILITIES!$D$7:$D$15,MATCH(PLAY!$D43,CAPABILITIES!$A$7:$A$15,0))*IF(INDEX(CAPABILITIES!$K$7:$K$15,MATCH(PLAY!$D43,CAPABILITIES!$A$7:$A$15,0))="Y",IF(IFERROR(INDEX($AA42:$AH42,MATCH(PLAY!$E43,REGIONS!$B$7:$B$14,0)),0)&lt;ASSUMPTIONS!$B$20,1,ASSUMPTIONS!$B$21),1),0)</f>
        <v>0</v>
      </c>
      <c r="F43" s="13" t="n">
        <f aca="false">IFERROR(INDEX(CAPABILITIES!$E$7:$E$15,MATCH(PLAY!$D43,CAPABILITIES!$A$7:$A$15,0)),0)</f>
        <v>0</v>
      </c>
      <c r="G43" s="13" t="n">
        <f aca="false">IFERROR(INDEX(CAPABILITIES!$F$7:$F$15,MATCH(PLAY!$D43,CAPABILITIES!$A$7:$A$15,0)),0)</f>
        <v>0</v>
      </c>
      <c r="H43" s="13" t="n">
        <f aca="false">IFERROR(INDEX(CAPABILITIES!$G$7:$G$15,MATCH(PLAY!$D43,CAPABILITIES!$A$7:$A$15,0)),0)</f>
        <v>0</v>
      </c>
      <c r="I43" s="13" t="n">
        <f aca="false">IFERROR(INDEX(CAPABILITIES!$H$7:$H$15,MATCH(PLAY!$D43,CAPABILITIES!$A$7:$A$15,0)),"")</f>
        <v>0</v>
      </c>
      <c r="J43" s="13" t="n">
        <f aca="false">IFERROR(INDEX(CAPABILITIES!$D$7:$D$15,MATCH(PLAY!$D43,CAPABILITIES!$A$7:$A$15,0))*INDEX(CAPABILITIES!$I$7:$I$15,MATCH(PLAY!$D43,CAPABILITIES!$A$7:$A$15,0)),0)</f>
        <v>0</v>
      </c>
      <c r="K43" s="13" t="n">
        <f aca="false">IFERROR(INDEX(CAPABILITIES!$E$7:$E$15,MATCH(PLAY!$D43,CAPABILITIES!$A$7:$A$15,0))+INDEX(CAPABILITIES!$J$7:$J$15,MATCH(PLAY!$D43,CAPABILITIES!$A$7:$A$15,0)),0)</f>
        <v>0</v>
      </c>
      <c r="L43" s="13" t="n">
        <f aca="false">IFERROR(INDEX(CAPABILITIES!$L$7:$L$15,MATCH(PLAY!$D43,CAPABILITIES!$A$7:$A$15,0)),0)</f>
        <v>0</v>
      </c>
      <c r="M43" s="13" t="str">
        <f aca="false">IFERROR(INDEX(CAPABILITIES!$B$7:$B$15,MATCH(PLAY!$F43,CAPABILITIES!$A$7:$A$15,0)),"NONE")</f>
        <v>NONE</v>
      </c>
      <c r="N43" s="13" t="n">
        <f aca="false">IFERROR(IF(INDEX(CAPABILITIES!$B$7:$B$15,MATCH(PLAY!$F43,CAPABILITIES!$A$7:$A$15,0))="DRIVER",INDEX(CAPABILITIES!$C$7:$C$15,MATCH(PLAY!$F43,CAPABILITIES!$A$7:$A$15,0)),PLAY!$G43),"")</f>
        <v>0</v>
      </c>
      <c r="O43" s="13" t="n">
        <f aca="false">IFERROR(INDEX(CAPABILITIES!$D$7:$D$15,MATCH(PLAY!$F43,CAPABILITIES!$A$7:$A$15,0))*IF(INDEX(CAPABILITIES!$K$7:$K$15,MATCH(PLAY!$F43,CAPABILITIES!$A$7:$A$15,0))="Y",IF(IFERROR(INDEX($AA42:$AH42,MATCH(PLAY!$G43,REGIONS!$B$7:$B$14,0)),0)&lt;ASSUMPTIONS!$B$20,1,ASSUMPTIONS!$B$21),1),0)</f>
        <v>0</v>
      </c>
      <c r="P43" s="13" t="n">
        <f aca="false">IFERROR(INDEX(CAPABILITIES!$E$7:$E$15,MATCH(PLAY!$F43,CAPABILITIES!$A$7:$A$15,0)),0)</f>
        <v>0</v>
      </c>
      <c r="Q43" s="13" t="n">
        <f aca="false">IFERROR(INDEX(CAPABILITIES!$F$7:$F$15,MATCH(PLAY!$F43,CAPABILITIES!$A$7:$A$15,0)),0)</f>
        <v>0</v>
      </c>
      <c r="R43" s="13" t="n">
        <f aca="false">IFERROR(INDEX(CAPABILITIES!$G$7:$G$15,MATCH(PLAY!$F43,CAPABILITIES!$A$7:$A$15,0)),0)</f>
        <v>0</v>
      </c>
      <c r="S43" s="13" t="n">
        <f aca="false">IFERROR(INDEX(CAPABILITIES!$H$7:$H$15,MATCH(PLAY!$F43,CAPABILITIES!$A$7:$A$15,0)),"")</f>
        <v>0</v>
      </c>
      <c r="T43" s="13" t="n">
        <f aca="false">IFERROR(INDEX(CAPABILITIES!$D$7:$D$15,MATCH(PLAY!$F43,CAPABILITIES!$A$7:$A$15,0))*INDEX(CAPABILITIES!$I$7:$I$15,MATCH(PLAY!$F43,CAPABILITIES!$A$7:$A$15,0)),0)</f>
        <v>0</v>
      </c>
      <c r="U43" s="13" t="n">
        <f aca="false">IFERROR(INDEX(CAPABILITIES!$E$7:$E$15,MATCH(PLAY!$F43,CAPABILITIES!$A$7:$A$15,0))+INDEX(CAPABILITIES!$J$7:$J$15,MATCH(PLAY!$F43,CAPABILITIES!$A$7:$A$15,0)),0)</f>
        <v>0</v>
      </c>
      <c r="V43" s="13" t="n">
        <f aca="false">IFERROR(INDEX(CAPABILITIES!$L$7:$L$15,MATCH(PLAY!$F43,CAPABILITIES!$A$7:$A$15,0)),0)</f>
        <v>0</v>
      </c>
      <c r="W43" s="28" t="n">
        <f aca="false">CLIMATE!D43+SUMPRODUCT(($D$8:$D$42="ENSO")*($F$8:$F$42+$A$8:$A$42=$A43)*$E$8:$E$42)+SUMPRODUCT(($I$8:$I$42="ENSO")*($K$8:$K$42+$A$8:$A$42=$A43)*$J$8:$J$42)+SUMPRODUCT(($N$8:$N$42="ENSO")*($P$8:$P$42+$A$8:$A$42=$A43)*$O$8:$O$42)+SUMPRODUCT(($S$8:$S$42="ENSO")*($U$8:$U$42+$A$8:$A$42=$A43)*$T$8:$T$42)</f>
        <v>-0.276</v>
      </c>
      <c r="X43" s="28" t="n">
        <f aca="false">CLIMATE!E43+SUMPRODUCT(($D$8:$D$42="IOD")*($F$8:$F$42+$A$8:$A$42=$A43)*$E$8:$E$42)+SUMPRODUCT(($I$8:$I$42="IOD")*($K$8:$K$42+$A$8:$A$42=$A43)*$J$8:$J$42)+SUMPRODUCT(($N$8:$N$42="IOD")*($P$8:$P$42+$A$8:$A$42=$A43)*$O$8:$O$42)+SUMPRODUCT(($S$8:$S$42="IOD")*($U$8:$U$42+$A$8:$A$42=$A43)*$T$8:$T$42)</f>
        <v>0.076</v>
      </c>
      <c r="Y43" s="28" t="n">
        <f aca="false">CLIMATE!F43+SUMPRODUCT(($D$8:$D$42="NATL")*($F$8:$F$42+$A$8:$A$42=$A43)*$E$8:$E$42)+SUMPRODUCT(($I$8:$I$42="NATL")*($K$8:$K$42+$A$8:$A$42=$A43)*$J$8:$J$42)+SUMPRODUCT(($N$8:$N$42="NATL")*($P$8:$P$42+$A$8:$A$42=$A43)*$O$8:$O$42)+SUMPRODUCT(($S$8:$S$42="NATL")*($U$8:$U$42+$A$8:$A$42=$A43)*$T$8:$T$42)</f>
        <v>0.633</v>
      </c>
      <c r="Z43" s="28" t="n">
        <f aca="false">CLIMATE!G43+SUMPRODUCT(($D$8:$D$42="GLOBAL")*($F$8:$F$42+$A$8:$A$42=$A43)*$E$8:$E$42)+SUMPRODUCT(($I$8:$I$42="GLOBAL")*($K$8:$K$42+$A$8:$A$42=$A43)*$J$8:$J$42)+SUMPRODUCT(($N$8:$N$42="GLOBAL")*($P$8:$P$42+$A$8:$A$42=$A43)*$O$8:$O$42)+SUMPRODUCT(($S$8:$S$42="GLOBAL")*($U$8:$U$42+$A$8:$A$42=$A43)*$T$8:$T$42)</f>
        <v>0</v>
      </c>
      <c r="AA43" s="28" t="n">
        <f aca="false">CLIMATE!H43+IFERROR(INDEX($W$8:$W$47,$A43-GRAPH!B17),0)*GRAPH!B9+IFERROR(INDEX($X$8:$X$47,$A43-GRAPH!B18),0)*GRAPH!B10+IFERROR(INDEX($Y$8:$Y$47,$A43-GRAPH!B19),0)*GRAPH!B11+IFERROR(INDEX($Z$8:$Z$47,$A43-GRAPH!B20),0)*GRAPH!B12+SUMPRODUCT(($D$8:$D$42=REGIONS!$B$7)*($F$8:$F$42+$A$8:$A$42=$A43)*$E$8:$E$42)+SUMPRODUCT(($N$8:$N$42=REGIONS!$B$7)*($P$8:$P$42+$A$8:$A$42=$A43)*$O$8:$O$42)</f>
        <v>-0.5605</v>
      </c>
      <c r="AB43" s="28" t="n">
        <f aca="false">CLIMATE!I43+IFERROR(INDEX($W$8:$W$47,$A43-GRAPH!C17),0)*GRAPH!C9+IFERROR(INDEX($X$8:$X$47,$A43-GRAPH!C18),0)*GRAPH!C10+IFERROR(INDEX($Y$8:$Y$47,$A43-GRAPH!C19),0)*GRAPH!C11+IFERROR(INDEX($Z$8:$Z$47,$A43-GRAPH!C20),0)*GRAPH!C12+SUMPRODUCT(($D$8:$D$42=REGIONS!$B$8)*($F$8:$F$42+$A$8:$A$42=$A43)*$E$8:$E$42)+SUMPRODUCT(($N$8:$N$42=REGIONS!$B$8)*($P$8:$P$42+$A$8:$A$42=$A43)*$O$8:$O$42)</f>
        <v>-0.0944</v>
      </c>
      <c r="AC43" s="28" t="n">
        <f aca="false">CLIMATE!J43+IFERROR(INDEX($W$8:$W$47,$A43-GRAPH!D17),0)*GRAPH!D9+IFERROR(INDEX($X$8:$X$47,$A43-GRAPH!D18),0)*GRAPH!D10+IFERROR(INDEX($Y$8:$Y$47,$A43-GRAPH!D19),0)*GRAPH!D11+IFERROR(INDEX($Z$8:$Z$47,$A43-GRAPH!D20),0)*GRAPH!D12+SUMPRODUCT(($D$8:$D$42=REGIONS!$B$9)*($F$8:$F$42+$A$8:$A$42=$A43)*$E$8:$E$42)+SUMPRODUCT(($N$8:$N$42=REGIONS!$B$9)*($P$8:$P$42+$A$8:$A$42=$A43)*$O$8:$O$42)</f>
        <v>0.0815</v>
      </c>
      <c r="AD43" s="28" t="n">
        <f aca="false">CLIMATE!K43+IFERROR(INDEX($W$8:$W$47,$A43-GRAPH!E17),0)*GRAPH!E9+IFERROR(INDEX($X$8:$X$47,$A43-GRAPH!E18),0)*GRAPH!E10+IFERROR(INDEX($Y$8:$Y$47,$A43-GRAPH!E19),0)*GRAPH!E11+IFERROR(INDEX($Z$8:$Z$47,$A43-GRAPH!E20),0)*GRAPH!E12+SUMPRODUCT(($D$8:$D$42=REGIONS!$B$10)*($F$8:$F$42+$A$8:$A$42=$A43)*$E$8:$E$42)+SUMPRODUCT(($N$8:$N$42=REGIONS!$B$10)*($P$8:$P$42+$A$8:$A$42=$A43)*$O$8:$O$42)</f>
        <v>0.3437</v>
      </c>
      <c r="AE43" s="28" t="n">
        <f aca="false">CLIMATE!L43+IFERROR(INDEX($W$8:$W$47,$A43-GRAPH!F17),0)*GRAPH!F9+IFERROR(INDEX($X$8:$X$47,$A43-GRAPH!F18),0)*GRAPH!F10+IFERROR(INDEX($Y$8:$Y$47,$A43-GRAPH!F19),0)*GRAPH!F11+IFERROR(INDEX($Z$8:$Z$47,$A43-GRAPH!F20),0)*GRAPH!F12+SUMPRODUCT(($D$8:$D$42=REGIONS!$B$11)*($F$8:$F$42+$A$8:$A$42=$A43)*$E$8:$E$42)+SUMPRODUCT(($N$8:$N$42=REGIONS!$B$11)*($P$8:$P$42+$A$8:$A$42=$A43)*$O$8:$O$42)</f>
        <v>0.13</v>
      </c>
      <c r="AF43" s="28" t="n">
        <f aca="false">CLIMATE!M43+IFERROR(INDEX($W$8:$W$47,$A43-GRAPH!G17),0)*GRAPH!G9+IFERROR(INDEX($X$8:$X$47,$A43-GRAPH!G18),0)*GRAPH!G10+IFERROR(INDEX($Y$8:$Y$47,$A43-GRAPH!G19),0)*GRAPH!G11+IFERROR(INDEX($Z$8:$Z$47,$A43-GRAPH!G20),0)*GRAPH!G12+SUMPRODUCT(($D$8:$D$42=REGIONS!$B$12)*($F$8:$F$42+$A$8:$A$42=$A43)*$E$8:$E$42)+SUMPRODUCT(($N$8:$N$42=REGIONS!$B$12)*($P$8:$P$42+$A$8:$A$42=$A43)*$O$8:$O$42)</f>
        <v>-0.2166</v>
      </c>
      <c r="AG43" s="28" t="n">
        <f aca="false">CLIMATE!N43+IFERROR(INDEX($W$8:$W$47,$A43-GRAPH!H17),0)*GRAPH!H9+IFERROR(INDEX($X$8:$X$47,$A43-GRAPH!H18),0)*GRAPH!H10+IFERROR(INDEX($Y$8:$Y$47,$A43-GRAPH!H19),0)*GRAPH!H11+IFERROR(INDEX($Z$8:$Z$47,$A43-GRAPH!H20),0)*GRAPH!H12+SUMPRODUCT(($D$8:$D$42=REGIONS!$B$13)*($F$8:$F$42+$A$8:$A$42=$A43)*$E$8:$E$42)+SUMPRODUCT(($N$8:$N$42=REGIONS!$B$13)*($P$8:$P$42+$A$8:$A$42=$A43)*$O$8:$O$42)</f>
        <v>1.1141</v>
      </c>
      <c r="AH43" s="28" t="n">
        <f aca="false">CLIMATE!O43+IFERROR(INDEX($W$8:$W$47,$A43-GRAPH!I17),0)*GRAPH!I9+IFERROR(INDEX($X$8:$X$47,$A43-GRAPH!I18),0)*GRAPH!I10+IFERROR(INDEX($Y$8:$Y$47,$A43-GRAPH!I19),0)*GRAPH!I11+IFERROR(INDEX($Z$8:$Z$47,$A43-GRAPH!I20),0)*GRAPH!I12+SUMPRODUCT(($D$8:$D$42=REGIONS!$B$14)*($F$8:$F$42+$A$8:$A$42=$A43)*$E$8:$E$42)+SUMPRODUCT(($N$8:$N$42=REGIONS!$B$14)*($P$8:$P$42+$A$8:$A$42=$A43)*$O$8:$O$42)</f>
        <v>0.2954</v>
      </c>
      <c r="AI43" s="28" t="n">
        <f aca="false">REGIONS!$F$7*(1+ASSUMPTIONS!$B$19*$A43)</f>
        <v>0.9728</v>
      </c>
      <c r="AJ43" s="28" t="n">
        <f aca="false">REGIONS!$F$8*(1+ASSUMPTIONS!$B$19*$A43)</f>
        <v>1.0944</v>
      </c>
      <c r="AK43" s="28" t="n">
        <f aca="false">REGIONS!$F$9*(1+ASSUMPTIONS!$B$19*$A43)</f>
        <v>1.0944</v>
      </c>
      <c r="AL43" s="28" t="n">
        <f aca="false">REGIONS!$F$10*(1+ASSUMPTIONS!$B$19*$A43)</f>
        <v>0.8512</v>
      </c>
      <c r="AM43" s="28" t="n">
        <f aca="false">REGIONS!$F$11*(1+ASSUMPTIONS!$B$19*$A43)</f>
        <v>0.8512</v>
      </c>
      <c r="AN43" s="28" t="n">
        <f aca="false">REGIONS!$F$12*(1+ASSUMPTIONS!$B$19*$A43)</f>
        <v>1.3376</v>
      </c>
      <c r="AO43" s="28" t="n">
        <f aca="false">REGIONS!$F$13*(1+ASSUMPTIONS!$B$19*$A43)</f>
        <v>1.4592</v>
      </c>
      <c r="AP43" s="28" t="n">
        <f aca="false">REGIONS!$F$14*(1+ASSUMPTIONS!$B$19*$A43)</f>
        <v>1.4592</v>
      </c>
      <c r="AQ43" s="11" t="n">
        <f aca="false">SUMPRODUCT(($D$8:$D$47=REGIONS!$B$7)*($A$8:$A$47&lt;=$A43)*$L$8:$L$47)+SUMPRODUCT(($N$8:$N$47=REGIONS!$B$7)*($A$8:$A$47&lt;=$A43)*$V$8:$V$47)</f>
        <v>0</v>
      </c>
      <c r="AR43" s="11" t="n">
        <f aca="false">SUMPRODUCT(($D$8:$D$47=REGIONS!$B$8)*($A$8:$A$47&lt;=$A43)*$L$8:$L$47)+SUMPRODUCT(($N$8:$N$47=REGIONS!$B$8)*($A$8:$A$47&lt;=$A43)*$V$8:$V$47)</f>
        <v>0</v>
      </c>
      <c r="AS43" s="11" t="n">
        <f aca="false">SUMPRODUCT(($D$8:$D$47=REGIONS!$B$9)*($A$8:$A$47&lt;=$A43)*$L$8:$L$47)+SUMPRODUCT(($N$8:$N$47=REGIONS!$B$9)*($A$8:$A$47&lt;=$A43)*$V$8:$V$47)</f>
        <v>0</v>
      </c>
      <c r="AT43" s="11" t="n">
        <f aca="false">SUMPRODUCT(($D$8:$D$47=REGIONS!$B$10)*($A$8:$A$47&lt;=$A43)*$L$8:$L$47)+SUMPRODUCT(($N$8:$N$47=REGIONS!$B$10)*($A$8:$A$47&lt;=$A43)*$V$8:$V$47)</f>
        <v>0</v>
      </c>
      <c r="AU43" s="11" t="n">
        <f aca="false">SUMPRODUCT(($D$8:$D$47=REGIONS!$B$11)*($A$8:$A$47&lt;=$A43)*$L$8:$L$47)+SUMPRODUCT(($N$8:$N$47=REGIONS!$B$11)*($A$8:$A$47&lt;=$A43)*$V$8:$V$47)</f>
        <v>0</v>
      </c>
      <c r="AV43" s="11" t="n">
        <f aca="false">SUMPRODUCT(($D$8:$D$47=REGIONS!$B$12)*($A$8:$A$47&lt;=$A43)*$L$8:$L$47)+SUMPRODUCT(($N$8:$N$47=REGIONS!$B$12)*($A$8:$A$47&lt;=$A43)*$V$8:$V$47)</f>
        <v>0</v>
      </c>
      <c r="AW43" s="11" t="n">
        <f aca="false">SUMPRODUCT(($D$8:$D$47=REGIONS!$B$13)*($A$8:$A$47&lt;=$A43)*$L$8:$L$47)+SUMPRODUCT(($N$8:$N$47=REGIONS!$B$13)*($A$8:$A$47&lt;=$A43)*$V$8:$V$47)</f>
        <v>0</v>
      </c>
      <c r="AX43" s="11" t="n">
        <f aca="false">SUMPRODUCT(($D$8:$D$47=REGIONS!$B$14)*($A$8:$A$47&lt;=$A43)*$L$8:$L$47)+SUMPRODUCT(($N$8:$N$47=REGIONS!$B$14)*($A$8:$A$47&lt;=$A43)*$V$8:$V$47)</f>
        <v>0</v>
      </c>
      <c r="AY43" s="12" t="n">
        <f aca="false">MAX(0,MIN(135,100-(MAX(0,-$AA43)*REGIONS!$E$7*ASSUMPTIONS!$B$7+MAX(0,$AA43-ASSUMPTIONS!$B$9)*REGIONS!$E$7*ASSUMPTIONS!$B$8)*(1-$AQ43/100)))</f>
        <v>92.153</v>
      </c>
      <c r="AZ43" s="12" t="n">
        <f aca="false">MAX(0,MIN(135,100-(MAX(0,-$AB43)*REGIONS!$E$8*ASSUMPTIONS!$B$7+MAX(0,$AB43-ASSUMPTIONS!$B$9)*REGIONS!$E$8*ASSUMPTIONS!$B$8)*(1-$AR43/100)))</f>
        <v>98.54624</v>
      </c>
      <c r="BA43" s="12" t="n">
        <f aca="false">MAX(0,MIN(135,100-(MAX(0,-$AC43)*REGIONS!$E$9*ASSUMPTIONS!$B$7+MAX(0,$AC43-ASSUMPTIONS!$B$9)*REGIONS!$E$9*ASSUMPTIONS!$B$8)*(1-$AS43/100)))</f>
        <v>100</v>
      </c>
      <c r="BB43" s="12" t="n">
        <f aca="false">MAX(0,MIN(135,100-(MAX(0,-$AD43)*REGIONS!$E$10*ASSUMPTIONS!$B$7+MAX(0,$AD43-ASSUMPTIONS!$B$9)*REGIONS!$E$10*ASSUMPTIONS!$B$8)*(1-$AT43/100)))</f>
        <v>100</v>
      </c>
      <c r="BC43" s="12" t="n">
        <f aca="false">MAX(0,MIN(135,100-(MAX(0,-$AE43)*REGIONS!$E$11*ASSUMPTIONS!$B$7+MAX(0,$AE43-ASSUMPTIONS!$B$9)*REGIONS!$E$11*ASSUMPTIONS!$B$8)*(1-$AU43/100)))</f>
        <v>100</v>
      </c>
      <c r="BD43" s="12" t="n">
        <f aca="false">MAX(0,MIN(135,100-(MAX(0,-$AF43)*REGIONS!$E$12*ASSUMPTIONS!$B$7+MAX(0,$AF43-ASSUMPTIONS!$B$9)*REGIONS!$E$12*ASSUMPTIONS!$B$8)*(1-$AV43/100)))</f>
        <v>96.05788</v>
      </c>
      <c r="BE43" s="12" t="n">
        <f aca="false">MAX(0,MIN(135,100-(MAX(0,-$AG43)*REGIONS!$E$13*ASSUMPTIONS!$B$7+MAX(0,$AG43-ASSUMPTIONS!$B$9)*REGIONS!$E$13*ASSUMPTIONS!$B$8)*(1-$AW43/100)))</f>
        <v>100</v>
      </c>
      <c r="BF43" s="12" t="n">
        <f aca="false">MAX(0,MIN(135,100-(MAX(0,-$AH43)*REGIONS!$E$14*ASSUMPTIONS!$B$7+MAX(0,$AH43-ASSUMPTIONS!$B$9)*REGIONS!$E$14*ASSUMPTIONS!$B$8)*(1-$AX43/100)))</f>
        <v>100</v>
      </c>
      <c r="BG43" s="12" t="n">
        <f aca="false">$AY43*REGIONS!$D$7/100+$AZ43*REGIONS!$D$8/100+$BA43*REGIONS!$D$9/100+$BB43*REGIONS!$D$10/100+$BC43*REGIONS!$D$11/100+$BD43*REGIONS!$D$12/100+$BE43*REGIONS!$D$13/100+$BF43*REGIONS!$D$14/100</f>
        <v>97.92205</v>
      </c>
      <c r="BH43" s="12" t="n">
        <f aca="false">100*(100/MAX(1,$BG43))^ASSUMPTIONS!$B$10</f>
        <v>103.852057625382</v>
      </c>
      <c r="BI43" s="12" t="n">
        <f aca="false">$AY43*$BH43/100*ASSUMPTIONS!$B$11</f>
        <v>81.3473686639909</v>
      </c>
      <c r="BJ43" s="28" t="n">
        <f aca="false">MAX(0,ABS($AA43)-$AI43*ASSUMPTIONS!$B$24)*REGIONS!$D$7/100+MAX(0,ABS($AB43)-$AJ43*ASSUMPTIONS!$B$24)*REGIONS!$D$8/100+MAX(0,ABS($AC43)-$AK43*ASSUMPTIONS!$B$24)*REGIONS!$D$9/100+MAX(0,ABS($AD43)-$AL43*ASSUMPTIONS!$B$24)*REGIONS!$D$10/100+MAX(0,ABS($AE43)-$AM43*ASSUMPTIONS!$B$24)*REGIONS!$D$11/100+MAX(0,ABS($AF43)-$AN43*ASSUMPTIONS!$B$24)*REGIONS!$D$12/100+MAX(0,ABS($AG43)-$AO43*ASSUMPTIONS!$B$24)*REGIONS!$D$13/100+MAX(0,ABS($AH43)-$AP43*ASSUMPTIONS!$B$24)*REGIONS!$D$14/100</f>
        <v>0.00118200000000002</v>
      </c>
      <c r="BK43" s="12" t="n">
        <f aca="false">MIN(ASSUMPTIONS!$B$14,ASSUMPTIONS!$B$12+$BJ43*ASSUMPTIONS!$B$13)</f>
        <v>28.049644</v>
      </c>
      <c r="BL43" s="11" t="n">
        <f aca="false">$H43+$R43</f>
        <v>0</v>
      </c>
      <c r="BM43" s="11" t="n">
        <f aca="false">PLAY!$H43</f>
        <v>0</v>
      </c>
      <c r="BN43" s="12" t="n">
        <f aca="false">$BI43*ASSUMPTIONS!$B$15+$BK43*ASSUMPTIONS!$B$16</f>
        <v>35.0063638396789</v>
      </c>
      <c r="BO43" s="12" t="n">
        <f aca="false">$BO42+$BN43-$BL43-$BM43-ASSUMPTIONS!$B$23</f>
        <v>279.486571802117</v>
      </c>
      <c r="BP43" s="12" t="n">
        <f aca="false">(SUMPRODUCT(($F$8:$F$42+$A$8:$A$42=$A43)*($C$8:$C$42&lt;&gt;"NONE")*$G$8:$G$42)+SUMPRODUCT(($P$8:$P$42+$A$8:$A$42=$A43)*($M$8:$M$42&lt;&gt;"NONE")*$Q$8:$Q$42))*(1+ASSUMPTIONS!$B$22*(MAX(0,ABS($AA43)/$AI43-1)+MAX(0,ABS($AB43)/$AJ43-1)+MAX(0,ABS($AC43)/$AK43-1)+MAX(0,ABS($AD43)/$AL43-1)+MAX(0,ABS($AE43)/$AM43-1)+MAX(0,ABS($AF43)/$AN43-1)+MAX(0,ABS($AG43)/$AO43-1)+MAX(0,ABS($AH43)/$AP43-1))/8)</f>
        <v>0</v>
      </c>
      <c r="BQ43" s="12" t="n">
        <f aca="false">MAX(0,$BQ42*(1-ASSUMPTIONS!$B$18)+$BP43-$BM43*ASSUMPTIONS!$B$17)</f>
        <v>0.527134890096196</v>
      </c>
    </row>
    <row r="44" customFormat="false" ht="15" hidden="false" customHeight="false" outlineLevel="0" collapsed="false">
      <c r="A44" s="13" t="n">
        <v>37</v>
      </c>
      <c r="B44" s="11" t="n">
        <f aca="false">CLIMATE!B44</f>
        <v>1955</v>
      </c>
      <c r="C44" s="13" t="str">
        <f aca="false">IFERROR(INDEX(CAPABILITIES!$B$7:$B$15,MATCH(PLAY!$D44,CAPABILITIES!$A$7:$A$15,0)),"NONE")</f>
        <v>NONE</v>
      </c>
      <c r="D44" s="13" t="n">
        <f aca="false">IFERROR(IF(INDEX(CAPABILITIES!$B$7:$B$15,MATCH(PLAY!$D44,CAPABILITIES!$A$7:$A$15,0))="DRIVER",INDEX(CAPABILITIES!$C$7:$C$15,MATCH(PLAY!$D44,CAPABILITIES!$A$7:$A$15,0)),PLAY!$E44),"")</f>
        <v>0</v>
      </c>
      <c r="E44" s="13" t="n">
        <f aca="false">IFERROR(INDEX(CAPABILITIES!$D$7:$D$15,MATCH(PLAY!$D44,CAPABILITIES!$A$7:$A$15,0))*IF(INDEX(CAPABILITIES!$K$7:$K$15,MATCH(PLAY!$D44,CAPABILITIES!$A$7:$A$15,0))="Y",IF(IFERROR(INDEX($AA43:$AH43,MATCH(PLAY!$E44,REGIONS!$B$7:$B$14,0)),0)&lt;ASSUMPTIONS!$B$20,1,ASSUMPTIONS!$B$21),1),0)</f>
        <v>0</v>
      </c>
      <c r="F44" s="13" t="n">
        <f aca="false">IFERROR(INDEX(CAPABILITIES!$E$7:$E$15,MATCH(PLAY!$D44,CAPABILITIES!$A$7:$A$15,0)),0)</f>
        <v>0</v>
      </c>
      <c r="G44" s="13" t="n">
        <f aca="false">IFERROR(INDEX(CAPABILITIES!$F$7:$F$15,MATCH(PLAY!$D44,CAPABILITIES!$A$7:$A$15,0)),0)</f>
        <v>0</v>
      </c>
      <c r="H44" s="13" t="n">
        <f aca="false">IFERROR(INDEX(CAPABILITIES!$G$7:$G$15,MATCH(PLAY!$D44,CAPABILITIES!$A$7:$A$15,0)),0)</f>
        <v>0</v>
      </c>
      <c r="I44" s="13" t="n">
        <f aca="false">IFERROR(INDEX(CAPABILITIES!$H$7:$H$15,MATCH(PLAY!$D44,CAPABILITIES!$A$7:$A$15,0)),"")</f>
        <v>0</v>
      </c>
      <c r="J44" s="13" t="n">
        <f aca="false">IFERROR(INDEX(CAPABILITIES!$D$7:$D$15,MATCH(PLAY!$D44,CAPABILITIES!$A$7:$A$15,0))*INDEX(CAPABILITIES!$I$7:$I$15,MATCH(PLAY!$D44,CAPABILITIES!$A$7:$A$15,0)),0)</f>
        <v>0</v>
      </c>
      <c r="K44" s="13" t="n">
        <f aca="false">IFERROR(INDEX(CAPABILITIES!$E$7:$E$15,MATCH(PLAY!$D44,CAPABILITIES!$A$7:$A$15,0))+INDEX(CAPABILITIES!$J$7:$J$15,MATCH(PLAY!$D44,CAPABILITIES!$A$7:$A$15,0)),0)</f>
        <v>0</v>
      </c>
      <c r="L44" s="13" t="n">
        <f aca="false">IFERROR(INDEX(CAPABILITIES!$L$7:$L$15,MATCH(PLAY!$D44,CAPABILITIES!$A$7:$A$15,0)),0)</f>
        <v>0</v>
      </c>
      <c r="M44" s="13" t="str">
        <f aca="false">IFERROR(INDEX(CAPABILITIES!$B$7:$B$15,MATCH(PLAY!$F44,CAPABILITIES!$A$7:$A$15,0)),"NONE")</f>
        <v>NONE</v>
      </c>
      <c r="N44" s="13" t="n">
        <f aca="false">IFERROR(IF(INDEX(CAPABILITIES!$B$7:$B$15,MATCH(PLAY!$F44,CAPABILITIES!$A$7:$A$15,0))="DRIVER",INDEX(CAPABILITIES!$C$7:$C$15,MATCH(PLAY!$F44,CAPABILITIES!$A$7:$A$15,0)),PLAY!$G44),"")</f>
        <v>0</v>
      </c>
      <c r="O44" s="13" t="n">
        <f aca="false">IFERROR(INDEX(CAPABILITIES!$D$7:$D$15,MATCH(PLAY!$F44,CAPABILITIES!$A$7:$A$15,0))*IF(INDEX(CAPABILITIES!$K$7:$K$15,MATCH(PLAY!$F44,CAPABILITIES!$A$7:$A$15,0))="Y",IF(IFERROR(INDEX($AA43:$AH43,MATCH(PLAY!$G44,REGIONS!$B$7:$B$14,0)),0)&lt;ASSUMPTIONS!$B$20,1,ASSUMPTIONS!$B$21),1),0)</f>
        <v>0</v>
      </c>
      <c r="P44" s="13" t="n">
        <f aca="false">IFERROR(INDEX(CAPABILITIES!$E$7:$E$15,MATCH(PLAY!$F44,CAPABILITIES!$A$7:$A$15,0)),0)</f>
        <v>0</v>
      </c>
      <c r="Q44" s="13" t="n">
        <f aca="false">IFERROR(INDEX(CAPABILITIES!$F$7:$F$15,MATCH(PLAY!$F44,CAPABILITIES!$A$7:$A$15,0)),0)</f>
        <v>0</v>
      </c>
      <c r="R44" s="13" t="n">
        <f aca="false">IFERROR(INDEX(CAPABILITIES!$G$7:$G$15,MATCH(PLAY!$F44,CAPABILITIES!$A$7:$A$15,0)),0)</f>
        <v>0</v>
      </c>
      <c r="S44" s="13" t="n">
        <f aca="false">IFERROR(INDEX(CAPABILITIES!$H$7:$H$15,MATCH(PLAY!$F44,CAPABILITIES!$A$7:$A$15,0)),"")</f>
        <v>0</v>
      </c>
      <c r="T44" s="13" t="n">
        <f aca="false">IFERROR(INDEX(CAPABILITIES!$D$7:$D$15,MATCH(PLAY!$F44,CAPABILITIES!$A$7:$A$15,0))*INDEX(CAPABILITIES!$I$7:$I$15,MATCH(PLAY!$F44,CAPABILITIES!$A$7:$A$15,0)),0)</f>
        <v>0</v>
      </c>
      <c r="U44" s="13" t="n">
        <f aca="false">IFERROR(INDEX(CAPABILITIES!$E$7:$E$15,MATCH(PLAY!$F44,CAPABILITIES!$A$7:$A$15,0))+INDEX(CAPABILITIES!$J$7:$J$15,MATCH(PLAY!$F44,CAPABILITIES!$A$7:$A$15,0)),0)</f>
        <v>0</v>
      </c>
      <c r="V44" s="13" t="n">
        <f aca="false">IFERROR(INDEX(CAPABILITIES!$L$7:$L$15,MATCH(PLAY!$F44,CAPABILITIES!$A$7:$A$15,0)),0)</f>
        <v>0</v>
      </c>
      <c r="W44" s="28" t="n">
        <f aca="false">CLIMATE!D44+SUMPRODUCT(($D$8:$D$43="ENSO")*($F$8:$F$43+$A$8:$A$43=$A44)*$E$8:$E$43)+SUMPRODUCT(($I$8:$I$43="ENSO")*($K$8:$K$43+$A$8:$A$43=$A44)*$J$8:$J$43)+SUMPRODUCT(($N$8:$N$43="ENSO")*($P$8:$P$43+$A$8:$A$43=$A44)*$O$8:$O$43)+SUMPRODUCT(($S$8:$S$43="ENSO")*($U$8:$U$43+$A$8:$A$43=$A44)*$T$8:$T$43)</f>
        <v>-0.692</v>
      </c>
      <c r="X44" s="28" t="n">
        <f aca="false">CLIMATE!E44+SUMPRODUCT(($D$8:$D$43="IOD")*($F$8:$F$43+$A$8:$A$43=$A44)*$E$8:$E$43)+SUMPRODUCT(($I$8:$I$43="IOD")*($K$8:$K$43+$A$8:$A$43=$A44)*$J$8:$J$43)+SUMPRODUCT(($N$8:$N$43="IOD")*($P$8:$P$43+$A$8:$A$43=$A44)*$O$8:$O$43)+SUMPRODUCT(($S$8:$S$43="IOD")*($U$8:$U$43+$A$8:$A$43=$A44)*$T$8:$T$43)</f>
        <v>0.05</v>
      </c>
      <c r="Y44" s="28" t="n">
        <f aca="false">CLIMATE!F44+SUMPRODUCT(($D$8:$D$43="NATL")*($F$8:$F$43+$A$8:$A$43=$A44)*$E$8:$E$43)+SUMPRODUCT(($I$8:$I$43="NATL")*($K$8:$K$43+$A$8:$A$43=$A44)*$J$8:$J$43)+SUMPRODUCT(($N$8:$N$43="NATL")*($P$8:$P$43+$A$8:$A$43=$A44)*$O$8:$O$43)+SUMPRODUCT(($S$8:$S$43="NATL")*($U$8:$U$43+$A$8:$A$43=$A44)*$T$8:$T$43)</f>
        <v>0.453</v>
      </c>
      <c r="Z44" s="28" t="n">
        <f aca="false">CLIMATE!G44+SUMPRODUCT(($D$8:$D$43="GLOBAL")*($F$8:$F$43+$A$8:$A$43=$A44)*$E$8:$E$43)+SUMPRODUCT(($I$8:$I$43="GLOBAL")*($K$8:$K$43+$A$8:$A$43=$A44)*$J$8:$J$43)+SUMPRODUCT(($N$8:$N$43="GLOBAL")*($P$8:$P$43+$A$8:$A$43=$A44)*$O$8:$O$43)+SUMPRODUCT(($S$8:$S$43="GLOBAL")*($U$8:$U$43+$A$8:$A$43=$A44)*$T$8:$T$43)</f>
        <v>0</v>
      </c>
      <c r="AA44" s="28" t="n">
        <f aca="false">CLIMATE!H44+IFERROR(INDEX($W$8:$W$47,$A44-GRAPH!B17),0)*GRAPH!B9+IFERROR(INDEX($X$8:$X$47,$A44-GRAPH!B18),0)*GRAPH!B10+IFERROR(INDEX($Y$8:$Y$47,$A44-GRAPH!B19),0)*GRAPH!B11+IFERROR(INDEX($Z$8:$Z$47,$A44-GRAPH!B20),0)*GRAPH!B12+SUMPRODUCT(($D$8:$D$43=REGIONS!$B$7)*($F$8:$F$43+$A$8:$A$43=$A44)*$E$8:$E$43)+SUMPRODUCT(($N$8:$N$43=REGIONS!$B$7)*($P$8:$P$43+$A$8:$A$43=$A44)*$O$8:$O$43)</f>
        <v>0.0813</v>
      </c>
      <c r="AB44" s="28" t="n">
        <f aca="false">CLIMATE!I44+IFERROR(INDEX($W$8:$W$47,$A44-GRAPH!C17),0)*GRAPH!C9+IFERROR(INDEX($X$8:$X$47,$A44-GRAPH!C18),0)*GRAPH!C10+IFERROR(INDEX($Y$8:$Y$47,$A44-GRAPH!C19),0)*GRAPH!C11+IFERROR(INDEX($Z$8:$Z$47,$A44-GRAPH!C20),0)*GRAPH!C12+SUMPRODUCT(($D$8:$D$43=REGIONS!$B$8)*($F$8:$F$43+$A$8:$A$43=$A44)*$E$8:$E$43)+SUMPRODUCT(($N$8:$N$43=REGIONS!$B$8)*($P$8:$P$43+$A$8:$A$43=$A44)*$O$8:$O$43)</f>
        <v>-0.1869</v>
      </c>
      <c r="AC44" s="28" t="n">
        <f aca="false">CLIMATE!J44+IFERROR(INDEX($W$8:$W$47,$A44-GRAPH!D17),0)*GRAPH!D9+IFERROR(INDEX($X$8:$X$47,$A44-GRAPH!D18),0)*GRAPH!D10+IFERROR(INDEX($Y$8:$Y$47,$A44-GRAPH!D19),0)*GRAPH!D11+IFERROR(INDEX($Z$8:$Z$47,$A44-GRAPH!D20),0)*GRAPH!D12+SUMPRODUCT(($D$8:$D$43=REGIONS!$B$9)*($F$8:$F$43+$A$8:$A$43=$A44)*$E$8:$E$43)+SUMPRODUCT(($N$8:$N$43=REGIONS!$B$9)*($P$8:$P$43+$A$8:$A$43=$A44)*$O$8:$O$43)</f>
        <v>0.077</v>
      </c>
      <c r="AD44" s="28" t="n">
        <f aca="false">CLIMATE!K44+IFERROR(INDEX($W$8:$W$47,$A44-GRAPH!E17),0)*GRAPH!E9+IFERROR(INDEX($X$8:$X$47,$A44-GRAPH!E18),0)*GRAPH!E10+IFERROR(INDEX($Y$8:$Y$47,$A44-GRAPH!E19),0)*GRAPH!E11+IFERROR(INDEX($Z$8:$Z$47,$A44-GRAPH!E20),0)*GRAPH!E12+SUMPRODUCT(($D$8:$D$43=REGIONS!$B$10)*($F$8:$F$43+$A$8:$A$43=$A44)*$E$8:$E$43)+SUMPRODUCT(($N$8:$N$43=REGIONS!$B$10)*($P$8:$P$43+$A$8:$A$43=$A44)*$O$8:$O$43)</f>
        <v>0.0842</v>
      </c>
      <c r="AE44" s="28" t="n">
        <f aca="false">CLIMATE!L44+IFERROR(INDEX($W$8:$W$47,$A44-GRAPH!F17),0)*GRAPH!F9+IFERROR(INDEX($X$8:$X$47,$A44-GRAPH!F18),0)*GRAPH!F10+IFERROR(INDEX($Y$8:$Y$47,$A44-GRAPH!F19),0)*GRAPH!F11+IFERROR(INDEX($Z$8:$Z$47,$A44-GRAPH!F20),0)*GRAPH!F12+SUMPRODUCT(($D$8:$D$43=REGIONS!$B$11)*($F$8:$F$43+$A$8:$A$43=$A44)*$E$8:$E$43)+SUMPRODUCT(($N$8:$N$43=REGIONS!$B$11)*($P$8:$P$43+$A$8:$A$43=$A44)*$O$8:$O$43)</f>
        <v>-0.125</v>
      </c>
      <c r="AF44" s="28" t="n">
        <f aca="false">CLIMATE!M44+IFERROR(INDEX($W$8:$W$47,$A44-GRAPH!G17),0)*GRAPH!G9+IFERROR(INDEX($X$8:$X$47,$A44-GRAPH!G18),0)*GRAPH!G10+IFERROR(INDEX($Y$8:$Y$47,$A44-GRAPH!G19),0)*GRAPH!G11+IFERROR(INDEX($Z$8:$Z$47,$A44-GRAPH!G20),0)*GRAPH!G12+SUMPRODUCT(($D$8:$D$43=REGIONS!$B$12)*($F$8:$F$43+$A$8:$A$43=$A44)*$E$8:$E$43)+SUMPRODUCT(($N$8:$N$43=REGIONS!$B$12)*($P$8:$P$43+$A$8:$A$43=$A44)*$O$8:$O$43)</f>
        <v>0.1048</v>
      </c>
      <c r="AG44" s="28" t="n">
        <f aca="false">CLIMATE!N44+IFERROR(INDEX($W$8:$W$47,$A44-GRAPH!H17),0)*GRAPH!H9+IFERROR(INDEX($X$8:$X$47,$A44-GRAPH!H18),0)*GRAPH!H10+IFERROR(INDEX($Y$8:$Y$47,$A44-GRAPH!H19),0)*GRAPH!H11+IFERROR(INDEX($Z$8:$Z$47,$A44-GRAPH!H20),0)*GRAPH!H12+SUMPRODUCT(($D$8:$D$43=REGIONS!$B$13)*($F$8:$F$43+$A$8:$A$43=$A44)*$E$8:$E$43)+SUMPRODUCT(($N$8:$N$43=REGIONS!$B$13)*($P$8:$P$43+$A$8:$A$43=$A44)*$O$8:$O$43)</f>
        <v>1.0376</v>
      </c>
      <c r="AH44" s="28" t="n">
        <f aca="false">CLIMATE!O44+IFERROR(INDEX($W$8:$W$47,$A44-GRAPH!I17),0)*GRAPH!I9+IFERROR(INDEX($X$8:$X$47,$A44-GRAPH!I18),0)*GRAPH!I10+IFERROR(INDEX($Y$8:$Y$47,$A44-GRAPH!I19),0)*GRAPH!I11+IFERROR(INDEX($Z$8:$Z$47,$A44-GRAPH!I20),0)*GRAPH!I12+SUMPRODUCT(($D$8:$D$43=REGIONS!$B$14)*($F$8:$F$43+$A$8:$A$43=$A44)*$E$8:$E$43)+SUMPRODUCT(($N$8:$N$43=REGIONS!$B$14)*($P$8:$P$43+$A$8:$A$43=$A44)*$O$8:$O$43)</f>
        <v>0.3018</v>
      </c>
      <c r="AI44" s="28" t="n">
        <f aca="false">REGIONS!$F$7*(1+ASSUMPTIONS!$B$19*$A44)</f>
        <v>0.9776</v>
      </c>
      <c r="AJ44" s="28" t="n">
        <f aca="false">REGIONS!$F$8*(1+ASSUMPTIONS!$B$19*$A44)</f>
        <v>1.0998</v>
      </c>
      <c r="AK44" s="28" t="n">
        <f aca="false">REGIONS!$F$9*(1+ASSUMPTIONS!$B$19*$A44)</f>
        <v>1.0998</v>
      </c>
      <c r="AL44" s="28" t="n">
        <f aca="false">REGIONS!$F$10*(1+ASSUMPTIONS!$B$19*$A44)</f>
        <v>0.8554</v>
      </c>
      <c r="AM44" s="28" t="n">
        <f aca="false">REGIONS!$F$11*(1+ASSUMPTIONS!$B$19*$A44)</f>
        <v>0.8554</v>
      </c>
      <c r="AN44" s="28" t="n">
        <f aca="false">REGIONS!$F$12*(1+ASSUMPTIONS!$B$19*$A44)</f>
        <v>1.3442</v>
      </c>
      <c r="AO44" s="28" t="n">
        <f aca="false">REGIONS!$F$13*(1+ASSUMPTIONS!$B$19*$A44)</f>
        <v>1.4664</v>
      </c>
      <c r="AP44" s="28" t="n">
        <f aca="false">REGIONS!$F$14*(1+ASSUMPTIONS!$B$19*$A44)</f>
        <v>1.4664</v>
      </c>
      <c r="AQ44" s="11" t="n">
        <f aca="false">SUMPRODUCT(($D$8:$D$47=REGIONS!$B$7)*($A$8:$A$47&lt;=$A44)*$L$8:$L$47)+SUMPRODUCT(($N$8:$N$47=REGIONS!$B$7)*($A$8:$A$47&lt;=$A44)*$V$8:$V$47)</f>
        <v>0</v>
      </c>
      <c r="AR44" s="11" t="n">
        <f aca="false">SUMPRODUCT(($D$8:$D$47=REGIONS!$B$8)*($A$8:$A$47&lt;=$A44)*$L$8:$L$47)+SUMPRODUCT(($N$8:$N$47=REGIONS!$B$8)*($A$8:$A$47&lt;=$A44)*$V$8:$V$47)</f>
        <v>0</v>
      </c>
      <c r="AS44" s="11" t="n">
        <f aca="false">SUMPRODUCT(($D$8:$D$47=REGIONS!$B$9)*($A$8:$A$47&lt;=$A44)*$L$8:$L$47)+SUMPRODUCT(($N$8:$N$47=REGIONS!$B$9)*($A$8:$A$47&lt;=$A44)*$V$8:$V$47)</f>
        <v>0</v>
      </c>
      <c r="AT44" s="11" t="n">
        <f aca="false">SUMPRODUCT(($D$8:$D$47=REGIONS!$B$10)*($A$8:$A$47&lt;=$A44)*$L$8:$L$47)+SUMPRODUCT(($N$8:$N$47=REGIONS!$B$10)*($A$8:$A$47&lt;=$A44)*$V$8:$V$47)</f>
        <v>0</v>
      </c>
      <c r="AU44" s="11" t="n">
        <f aca="false">SUMPRODUCT(($D$8:$D$47=REGIONS!$B$11)*($A$8:$A$47&lt;=$A44)*$L$8:$L$47)+SUMPRODUCT(($N$8:$N$47=REGIONS!$B$11)*($A$8:$A$47&lt;=$A44)*$V$8:$V$47)</f>
        <v>0</v>
      </c>
      <c r="AV44" s="11" t="n">
        <f aca="false">SUMPRODUCT(($D$8:$D$47=REGIONS!$B$12)*($A$8:$A$47&lt;=$A44)*$L$8:$L$47)+SUMPRODUCT(($N$8:$N$47=REGIONS!$B$12)*($A$8:$A$47&lt;=$A44)*$V$8:$V$47)</f>
        <v>0</v>
      </c>
      <c r="AW44" s="11" t="n">
        <f aca="false">SUMPRODUCT(($D$8:$D$47=REGIONS!$B$13)*($A$8:$A$47&lt;=$A44)*$L$8:$L$47)+SUMPRODUCT(($N$8:$N$47=REGIONS!$B$13)*($A$8:$A$47&lt;=$A44)*$V$8:$V$47)</f>
        <v>0</v>
      </c>
      <c r="AX44" s="11" t="n">
        <f aca="false">SUMPRODUCT(($D$8:$D$47=REGIONS!$B$14)*($A$8:$A$47&lt;=$A44)*$L$8:$L$47)+SUMPRODUCT(($N$8:$N$47=REGIONS!$B$14)*($A$8:$A$47&lt;=$A44)*$V$8:$V$47)</f>
        <v>0</v>
      </c>
      <c r="AY44" s="12" t="n">
        <f aca="false">MAX(0,MIN(135,100-(MAX(0,-$AA44)*REGIONS!$E$7*ASSUMPTIONS!$B$7+MAX(0,$AA44-ASSUMPTIONS!$B$9)*REGIONS!$E$7*ASSUMPTIONS!$B$8)*(1-$AQ44/100)))</f>
        <v>100</v>
      </c>
      <c r="AZ44" s="12" t="n">
        <f aca="false">MAX(0,MIN(135,100-(MAX(0,-$AB44)*REGIONS!$E$8*ASSUMPTIONS!$B$7+MAX(0,$AB44-ASSUMPTIONS!$B$9)*REGIONS!$E$8*ASSUMPTIONS!$B$8)*(1-$AR44/100)))</f>
        <v>97.12174</v>
      </c>
      <c r="BA44" s="12" t="n">
        <f aca="false">MAX(0,MIN(135,100-(MAX(0,-$AC44)*REGIONS!$E$9*ASSUMPTIONS!$B$7+MAX(0,$AC44-ASSUMPTIONS!$B$9)*REGIONS!$E$9*ASSUMPTIONS!$B$8)*(1-$AS44/100)))</f>
        <v>100</v>
      </c>
      <c r="BB44" s="12" t="n">
        <f aca="false">MAX(0,MIN(135,100-(MAX(0,-$AD44)*REGIONS!$E$10*ASSUMPTIONS!$B$7+MAX(0,$AD44-ASSUMPTIONS!$B$9)*REGIONS!$E$10*ASSUMPTIONS!$B$8)*(1-$AT44/100)))</f>
        <v>100</v>
      </c>
      <c r="BC44" s="12" t="n">
        <f aca="false">MAX(0,MIN(135,100-(MAX(0,-$AE44)*REGIONS!$E$11*ASSUMPTIONS!$B$7+MAX(0,$AE44-ASSUMPTIONS!$B$9)*REGIONS!$E$11*ASSUMPTIONS!$B$8)*(1-$AU44/100)))</f>
        <v>98.075</v>
      </c>
      <c r="BD44" s="12" t="n">
        <f aca="false">MAX(0,MIN(135,100-(MAX(0,-$AF44)*REGIONS!$E$12*ASSUMPTIONS!$B$7+MAX(0,$AF44-ASSUMPTIONS!$B$9)*REGIONS!$E$12*ASSUMPTIONS!$B$8)*(1-$AV44/100)))</f>
        <v>100</v>
      </c>
      <c r="BE44" s="12" t="n">
        <f aca="false">MAX(0,MIN(135,100-(MAX(0,-$AG44)*REGIONS!$E$13*ASSUMPTIONS!$B$7+MAX(0,$AG44-ASSUMPTIONS!$B$9)*REGIONS!$E$13*ASSUMPTIONS!$B$8)*(1-$AW44/100)))</f>
        <v>100</v>
      </c>
      <c r="BF44" s="12" t="n">
        <f aca="false">MAX(0,MIN(135,100-(MAX(0,-$AH44)*REGIONS!$E$14*ASSUMPTIONS!$B$7+MAX(0,$AH44-ASSUMPTIONS!$B$9)*REGIONS!$E$14*ASSUMPTIONS!$B$8)*(1-$AX44/100)))</f>
        <v>100</v>
      </c>
      <c r="BG44" s="12" t="n">
        <f aca="false">$AY44*REGIONS!$D$7/100+$AZ44*REGIONS!$D$8/100+$BA44*REGIONS!$D$9/100+$BB44*REGIONS!$D$10/100+$BC44*REGIONS!$D$11/100+$BD44*REGIONS!$D$12/100+$BE44*REGIONS!$D$13/100+$BF44*REGIONS!$D$14/100</f>
        <v>99.3084784</v>
      </c>
      <c r="BH44" s="12" t="n">
        <f aca="false">100*(100/MAX(1,$BG44))^ASSUMPTIONS!$B$10</f>
        <v>101.256896011835</v>
      </c>
      <c r="BI44" s="12" t="n">
        <f aca="false">$AY44*$BH44/100*ASSUMPTIONS!$B$11</f>
        <v>86.0683616100598</v>
      </c>
      <c r="BJ44" s="28" t="n">
        <f aca="false">MAX(0,ABS($AA44)-$AI44*ASSUMPTIONS!$B$24)*REGIONS!$D$7/100+MAX(0,ABS($AB44)-$AJ44*ASSUMPTIONS!$B$24)*REGIONS!$D$8/100+MAX(0,ABS($AC44)-$AK44*ASSUMPTIONS!$B$24)*REGIONS!$D$9/100+MAX(0,ABS($AD44)-$AL44*ASSUMPTIONS!$B$24)*REGIONS!$D$10/100+MAX(0,ABS($AE44)-$AM44*ASSUMPTIONS!$B$24)*REGIONS!$D$11/100+MAX(0,ABS($AF44)-$AN44*ASSUMPTIONS!$B$24)*REGIONS!$D$12/100+MAX(0,ABS($AG44)-$AO44*ASSUMPTIONS!$B$24)*REGIONS!$D$13/100+MAX(0,ABS($AH44)-$AP44*ASSUMPTIONS!$B$24)*REGIONS!$D$14/100</f>
        <v>0</v>
      </c>
      <c r="BK44" s="12" t="n">
        <f aca="false">MIN(ASSUMPTIONS!$B$14,ASSUMPTIONS!$B$12+$BJ44*ASSUMPTIONS!$B$13)</f>
        <v>28</v>
      </c>
      <c r="BL44" s="11" t="n">
        <f aca="false">$H44+$R44</f>
        <v>0</v>
      </c>
      <c r="BM44" s="11" t="n">
        <f aca="false">PLAY!$H44</f>
        <v>0</v>
      </c>
      <c r="BN44" s="12" t="n">
        <f aca="false">$BI44*ASSUMPTIONS!$B$15+$BK44*ASSUMPTIONS!$B$16</f>
        <v>35.5282033932072</v>
      </c>
      <c r="BO44" s="12" t="n">
        <f aca="false">$BO43+$BN44-$BL44-$BM44-ASSUMPTIONS!$B$23</f>
        <v>283.014775195324</v>
      </c>
      <c r="BP44" s="12" t="n">
        <f aca="false">(SUMPRODUCT(($F$8:$F$43+$A$8:$A$43=$A44)*($C$8:$C$43&lt;&gt;"NONE")*$G$8:$G$43)+SUMPRODUCT(($P$8:$P$43+$A$8:$A$43=$A44)*($M$8:$M$43&lt;&gt;"NONE")*$Q$8:$Q$43))*(1+ASSUMPTIONS!$B$22*(MAX(0,ABS($AA44)/$AI44-1)+MAX(0,ABS($AB44)/$AJ44-1)+MAX(0,ABS($AC44)/$AK44-1)+MAX(0,ABS($AD44)/$AL44-1)+MAX(0,ABS($AE44)/$AM44-1)+MAX(0,ABS($AF44)/$AN44-1)+MAX(0,ABS($AG44)/$AO44-1)+MAX(0,ABS($AH44)/$AP44-1))/8)</f>
        <v>0</v>
      </c>
      <c r="BQ44" s="12" t="n">
        <f aca="false">MAX(0,$BQ43*(1-ASSUMPTIONS!$B$18)+$BP44-$BM44*ASSUMPTIONS!$B$17)</f>
        <v>0.506049494492348</v>
      </c>
    </row>
    <row r="45" customFormat="false" ht="15" hidden="false" customHeight="false" outlineLevel="0" collapsed="false">
      <c r="A45" s="13" t="n">
        <v>38</v>
      </c>
      <c r="B45" s="11" t="n">
        <f aca="false">CLIMATE!B45</f>
        <v>1955</v>
      </c>
      <c r="C45" s="13" t="str">
        <f aca="false">IFERROR(INDEX(CAPABILITIES!$B$7:$B$15,MATCH(PLAY!$D45,CAPABILITIES!$A$7:$A$15,0)),"NONE")</f>
        <v>NONE</v>
      </c>
      <c r="D45" s="13" t="n">
        <f aca="false">IFERROR(IF(INDEX(CAPABILITIES!$B$7:$B$15,MATCH(PLAY!$D45,CAPABILITIES!$A$7:$A$15,0))="DRIVER",INDEX(CAPABILITIES!$C$7:$C$15,MATCH(PLAY!$D45,CAPABILITIES!$A$7:$A$15,0)),PLAY!$E45),"")</f>
        <v>0</v>
      </c>
      <c r="E45" s="13" t="n">
        <f aca="false">IFERROR(INDEX(CAPABILITIES!$D$7:$D$15,MATCH(PLAY!$D45,CAPABILITIES!$A$7:$A$15,0))*IF(INDEX(CAPABILITIES!$K$7:$K$15,MATCH(PLAY!$D45,CAPABILITIES!$A$7:$A$15,0))="Y",IF(IFERROR(INDEX($AA44:$AH44,MATCH(PLAY!$E45,REGIONS!$B$7:$B$14,0)),0)&lt;ASSUMPTIONS!$B$20,1,ASSUMPTIONS!$B$21),1),0)</f>
        <v>0</v>
      </c>
      <c r="F45" s="13" t="n">
        <f aca="false">IFERROR(INDEX(CAPABILITIES!$E$7:$E$15,MATCH(PLAY!$D45,CAPABILITIES!$A$7:$A$15,0)),0)</f>
        <v>0</v>
      </c>
      <c r="G45" s="13" t="n">
        <f aca="false">IFERROR(INDEX(CAPABILITIES!$F$7:$F$15,MATCH(PLAY!$D45,CAPABILITIES!$A$7:$A$15,0)),0)</f>
        <v>0</v>
      </c>
      <c r="H45" s="13" t="n">
        <f aca="false">IFERROR(INDEX(CAPABILITIES!$G$7:$G$15,MATCH(PLAY!$D45,CAPABILITIES!$A$7:$A$15,0)),0)</f>
        <v>0</v>
      </c>
      <c r="I45" s="13" t="n">
        <f aca="false">IFERROR(INDEX(CAPABILITIES!$H$7:$H$15,MATCH(PLAY!$D45,CAPABILITIES!$A$7:$A$15,0)),"")</f>
        <v>0</v>
      </c>
      <c r="J45" s="13" t="n">
        <f aca="false">IFERROR(INDEX(CAPABILITIES!$D$7:$D$15,MATCH(PLAY!$D45,CAPABILITIES!$A$7:$A$15,0))*INDEX(CAPABILITIES!$I$7:$I$15,MATCH(PLAY!$D45,CAPABILITIES!$A$7:$A$15,0)),0)</f>
        <v>0</v>
      </c>
      <c r="K45" s="13" t="n">
        <f aca="false">IFERROR(INDEX(CAPABILITIES!$E$7:$E$15,MATCH(PLAY!$D45,CAPABILITIES!$A$7:$A$15,0))+INDEX(CAPABILITIES!$J$7:$J$15,MATCH(PLAY!$D45,CAPABILITIES!$A$7:$A$15,0)),0)</f>
        <v>0</v>
      </c>
      <c r="L45" s="13" t="n">
        <f aca="false">IFERROR(INDEX(CAPABILITIES!$L$7:$L$15,MATCH(PLAY!$D45,CAPABILITIES!$A$7:$A$15,0)),0)</f>
        <v>0</v>
      </c>
      <c r="M45" s="13" t="str">
        <f aca="false">IFERROR(INDEX(CAPABILITIES!$B$7:$B$15,MATCH(PLAY!$F45,CAPABILITIES!$A$7:$A$15,0)),"NONE")</f>
        <v>NONE</v>
      </c>
      <c r="N45" s="13" t="n">
        <f aca="false">IFERROR(IF(INDEX(CAPABILITIES!$B$7:$B$15,MATCH(PLAY!$F45,CAPABILITIES!$A$7:$A$15,0))="DRIVER",INDEX(CAPABILITIES!$C$7:$C$15,MATCH(PLAY!$F45,CAPABILITIES!$A$7:$A$15,0)),PLAY!$G45),"")</f>
        <v>0</v>
      </c>
      <c r="O45" s="13" t="n">
        <f aca="false">IFERROR(INDEX(CAPABILITIES!$D$7:$D$15,MATCH(PLAY!$F45,CAPABILITIES!$A$7:$A$15,0))*IF(INDEX(CAPABILITIES!$K$7:$K$15,MATCH(PLAY!$F45,CAPABILITIES!$A$7:$A$15,0))="Y",IF(IFERROR(INDEX($AA44:$AH44,MATCH(PLAY!$G45,REGIONS!$B$7:$B$14,0)),0)&lt;ASSUMPTIONS!$B$20,1,ASSUMPTIONS!$B$21),1),0)</f>
        <v>0</v>
      </c>
      <c r="P45" s="13" t="n">
        <f aca="false">IFERROR(INDEX(CAPABILITIES!$E$7:$E$15,MATCH(PLAY!$F45,CAPABILITIES!$A$7:$A$15,0)),0)</f>
        <v>0</v>
      </c>
      <c r="Q45" s="13" t="n">
        <f aca="false">IFERROR(INDEX(CAPABILITIES!$F$7:$F$15,MATCH(PLAY!$F45,CAPABILITIES!$A$7:$A$15,0)),0)</f>
        <v>0</v>
      </c>
      <c r="R45" s="13" t="n">
        <f aca="false">IFERROR(INDEX(CAPABILITIES!$G$7:$G$15,MATCH(PLAY!$F45,CAPABILITIES!$A$7:$A$15,0)),0)</f>
        <v>0</v>
      </c>
      <c r="S45" s="13" t="n">
        <f aca="false">IFERROR(INDEX(CAPABILITIES!$H$7:$H$15,MATCH(PLAY!$F45,CAPABILITIES!$A$7:$A$15,0)),"")</f>
        <v>0</v>
      </c>
      <c r="T45" s="13" t="n">
        <f aca="false">IFERROR(INDEX(CAPABILITIES!$D$7:$D$15,MATCH(PLAY!$F45,CAPABILITIES!$A$7:$A$15,0))*INDEX(CAPABILITIES!$I$7:$I$15,MATCH(PLAY!$F45,CAPABILITIES!$A$7:$A$15,0)),0)</f>
        <v>0</v>
      </c>
      <c r="U45" s="13" t="n">
        <f aca="false">IFERROR(INDEX(CAPABILITIES!$E$7:$E$15,MATCH(PLAY!$F45,CAPABILITIES!$A$7:$A$15,0))+INDEX(CAPABILITIES!$J$7:$J$15,MATCH(PLAY!$F45,CAPABILITIES!$A$7:$A$15,0)),0)</f>
        <v>0</v>
      </c>
      <c r="V45" s="13" t="n">
        <f aca="false">IFERROR(INDEX(CAPABILITIES!$L$7:$L$15,MATCH(PLAY!$F45,CAPABILITIES!$A$7:$A$15,0)),0)</f>
        <v>0</v>
      </c>
      <c r="W45" s="28" t="n">
        <f aca="false">CLIMATE!D45+SUMPRODUCT(($D$8:$D$44="ENSO")*($F$8:$F$44+$A$8:$A$44=$A45)*$E$8:$E$44)+SUMPRODUCT(($I$8:$I$44="ENSO")*($K$8:$K$44+$A$8:$A$44=$A45)*$J$8:$J$44)+SUMPRODUCT(($N$8:$N$44="ENSO")*($P$8:$P$44+$A$8:$A$44=$A45)*$O$8:$O$44)+SUMPRODUCT(($S$8:$S$44="ENSO")*($U$8:$U$44+$A$8:$A$44=$A45)*$T$8:$T$44)</f>
        <v>-1.486</v>
      </c>
      <c r="X45" s="28" t="n">
        <f aca="false">CLIMATE!E45+SUMPRODUCT(($D$8:$D$44="IOD")*($F$8:$F$44+$A$8:$A$44=$A45)*$E$8:$E$44)+SUMPRODUCT(($I$8:$I$44="IOD")*($K$8:$K$44+$A$8:$A$44=$A45)*$J$8:$J$44)+SUMPRODUCT(($N$8:$N$44="IOD")*($P$8:$P$44+$A$8:$A$44=$A45)*$O$8:$O$44)+SUMPRODUCT(($S$8:$S$44="IOD")*($U$8:$U$44+$A$8:$A$44=$A45)*$T$8:$T$44)</f>
        <v>0.112</v>
      </c>
      <c r="Y45" s="28" t="n">
        <f aca="false">CLIMATE!F45+SUMPRODUCT(($D$8:$D$44="NATL")*($F$8:$F$44+$A$8:$A$44=$A45)*$E$8:$E$44)+SUMPRODUCT(($I$8:$I$44="NATL")*($K$8:$K$44+$A$8:$A$44=$A45)*$J$8:$J$44)+SUMPRODUCT(($N$8:$N$44="NATL")*($P$8:$P$44+$A$8:$A$44=$A45)*$O$8:$O$44)+SUMPRODUCT(($S$8:$S$44="NATL")*($U$8:$U$44+$A$8:$A$44=$A45)*$T$8:$T$44)</f>
        <v>-0.137</v>
      </c>
      <c r="Z45" s="28" t="n">
        <f aca="false">CLIMATE!G45+SUMPRODUCT(($D$8:$D$44="GLOBAL")*($F$8:$F$44+$A$8:$A$44=$A45)*$E$8:$E$44)+SUMPRODUCT(($I$8:$I$44="GLOBAL")*($K$8:$K$44+$A$8:$A$44=$A45)*$J$8:$J$44)+SUMPRODUCT(($N$8:$N$44="GLOBAL")*($P$8:$P$44+$A$8:$A$44=$A45)*$O$8:$O$44)+SUMPRODUCT(($S$8:$S$44="GLOBAL")*($U$8:$U$44+$A$8:$A$44=$A45)*$T$8:$T$44)</f>
        <v>0</v>
      </c>
      <c r="AA45" s="28" t="n">
        <f aca="false">CLIMATE!H45+IFERROR(INDEX($W$8:$W$47,$A45-GRAPH!B17),0)*GRAPH!B9+IFERROR(INDEX($X$8:$X$47,$A45-GRAPH!B18),0)*GRAPH!B10+IFERROR(INDEX($Y$8:$Y$47,$A45-GRAPH!B19),0)*GRAPH!B11+IFERROR(INDEX($Z$8:$Z$47,$A45-GRAPH!B20),0)*GRAPH!B12+SUMPRODUCT(($D$8:$D$44=REGIONS!$B$7)*($F$8:$F$44+$A$8:$A$44=$A45)*$E$8:$E$44)+SUMPRODUCT(($N$8:$N$44=REGIONS!$B$7)*($P$8:$P$44+$A$8:$A$44=$A45)*$O$8:$O$44)</f>
        <v>-0.1931</v>
      </c>
      <c r="AB45" s="28" t="n">
        <f aca="false">CLIMATE!I45+IFERROR(INDEX($W$8:$W$47,$A45-GRAPH!C17),0)*GRAPH!C9+IFERROR(INDEX($X$8:$X$47,$A45-GRAPH!C18),0)*GRAPH!C10+IFERROR(INDEX($Y$8:$Y$47,$A45-GRAPH!C19),0)*GRAPH!C11+IFERROR(INDEX($Z$8:$Z$47,$A45-GRAPH!C20),0)*GRAPH!C12+SUMPRODUCT(($D$8:$D$44=REGIONS!$B$8)*($F$8:$F$44+$A$8:$A$44=$A45)*$E$8:$E$44)+SUMPRODUCT(($N$8:$N$44=REGIONS!$B$8)*($P$8:$P$44+$A$8:$A$44=$A45)*$O$8:$O$44)</f>
        <v>-0.3286</v>
      </c>
      <c r="AC45" s="28" t="n">
        <f aca="false">CLIMATE!J45+IFERROR(INDEX($W$8:$W$47,$A45-GRAPH!D17),0)*GRAPH!D9+IFERROR(INDEX($X$8:$X$47,$A45-GRAPH!D18),0)*GRAPH!D10+IFERROR(INDEX($Y$8:$Y$47,$A45-GRAPH!D19),0)*GRAPH!D11+IFERROR(INDEX($Z$8:$Z$47,$A45-GRAPH!D20),0)*GRAPH!D12+SUMPRODUCT(($D$8:$D$44=REGIONS!$B$9)*($F$8:$F$44+$A$8:$A$44=$A45)*$E$8:$E$44)+SUMPRODUCT(($N$8:$N$44=REGIONS!$B$9)*($P$8:$P$44+$A$8:$A$44=$A45)*$O$8:$O$44)</f>
        <v>0.179</v>
      </c>
      <c r="AD45" s="28" t="n">
        <f aca="false">CLIMATE!K45+IFERROR(INDEX($W$8:$W$47,$A45-GRAPH!E17),0)*GRAPH!E9+IFERROR(INDEX($X$8:$X$47,$A45-GRAPH!E18),0)*GRAPH!E10+IFERROR(INDEX($Y$8:$Y$47,$A45-GRAPH!E19),0)*GRAPH!E11+IFERROR(INDEX($Z$8:$Z$47,$A45-GRAPH!E20),0)*GRAPH!E12+SUMPRODUCT(($D$8:$D$44=REGIONS!$B$10)*($F$8:$F$44+$A$8:$A$44=$A45)*$E$8:$E$44)+SUMPRODUCT(($N$8:$N$44=REGIONS!$B$10)*($P$8:$P$44+$A$8:$A$44=$A45)*$O$8:$O$44)</f>
        <v>0.2586</v>
      </c>
      <c r="AE45" s="28" t="n">
        <f aca="false">CLIMATE!L45+IFERROR(INDEX($W$8:$W$47,$A45-GRAPH!F17),0)*GRAPH!F9+IFERROR(INDEX($X$8:$X$47,$A45-GRAPH!F18),0)*GRAPH!F10+IFERROR(INDEX($Y$8:$Y$47,$A45-GRAPH!F19),0)*GRAPH!F11+IFERROR(INDEX($Z$8:$Z$47,$A45-GRAPH!F20),0)*GRAPH!F12+SUMPRODUCT(($D$8:$D$44=REGIONS!$B$11)*($F$8:$F$44+$A$8:$A$44=$A45)*$E$8:$E$44)+SUMPRODUCT(($N$8:$N$44=REGIONS!$B$11)*($P$8:$P$44+$A$8:$A$44=$A45)*$O$8:$O$44)</f>
        <v>0.1724</v>
      </c>
      <c r="AF45" s="28" t="n">
        <f aca="false">CLIMATE!M45+IFERROR(INDEX($W$8:$W$47,$A45-GRAPH!G17),0)*GRAPH!G9+IFERROR(INDEX($X$8:$X$47,$A45-GRAPH!G18),0)*GRAPH!G10+IFERROR(INDEX($Y$8:$Y$47,$A45-GRAPH!G19),0)*GRAPH!G11+IFERROR(INDEX($Z$8:$Z$47,$A45-GRAPH!G20),0)*GRAPH!G12+SUMPRODUCT(($D$8:$D$44=REGIONS!$B$12)*($F$8:$F$44+$A$8:$A$44=$A45)*$E$8:$E$44)+SUMPRODUCT(($N$8:$N$44=REGIONS!$B$12)*($P$8:$P$44+$A$8:$A$44=$A45)*$O$8:$O$44)</f>
        <v>0.6528</v>
      </c>
      <c r="AG45" s="28" t="n">
        <f aca="false">CLIMATE!N45+IFERROR(INDEX($W$8:$W$47,$A45-GRAPH!H17),0)*GRAPH!H9+IFERROR(INDEX($X$8:$X$47,$A45-GRAPH!H18),0)*GRAPH!H10+IFERROR(INDEX($Y$8:$Y$47,$A45-GRAPH!H19),0)*GRAPH!H11+IFERROR(INDEX($Z$8:$Z$47,$A45-GRAPH!H20),0)*GRAPH!H12+SUMPRODUCT(($D$8:$D$44=REGIONS!$B$13)*($F$8:$F$44+$A$8:$A$44=$A45)*$E$8:$E$44)+SUMPRODUCT(($N$8:$N$44=REGIONS!$B$13)*($P$8:$P$44+$A$8:$A$44=$A45)*$O$8:$O$44)</f>
        <v>0.9435</v>
      </c>
      <c r="AH45" s="28" t="n">
        <f aca="false">CLIMATE!O45+IFERROR(INDEX($W$8:$W$47,$A45-GRAPH!I17),0)*GRAPH!I9+IFERROR(INDEX($X$8:$X$47,$A45-GRAPH!I18),0)*GRAPH!I10+IFERROR(INDEX($Y$8:$Y$47,$A45-GRAPH!I19),0)*GRAPH!I11+IFERROR(INDEX($Z$8:$Z$47,$A45-GRAPH!I20),0)*GRAPH!I12+SUMPRODUCT(($D$8:$D$44=REGIONS!$B$14)*($F$8:$F$44+$A$8:$A$44=$A45)*$E$8:$E$44)+SUMPRODUCT(($N$8:$N$44=REGIONS!$B$14)*($P$8:$P$44+$A$8:$A$44=$A45)*$O$8:$O$44)</f>
        <v>0.0148</v>
      </c>
      <c r="AI45" s="28" t="n">
        <f aca="false">REGIONS!$F$7*(1+ASSUMPTIONS!$B$19*$A45)</f>
        <v>0.9824</v>
      </c>
      <c r="AJ45" s="28" t="n">
        <f aca="false">REGIONS!$F$8*(1+ASSUMPTIONS!$B$19*$A45)</f>
        <v>1.1052</v>
      </c>
      <c r="AK45" s="28" t="n">
        <f aca="false">REGIONS!$F$9*(1+ASSUMPTIONS!$B$19*$A45)</f>
        <v>1.1052</v>
      </c>
      <c r="AL45" s="28" t="n">
        <f aca="false">REGIONS!$F$10*(1+ASSUMPTIONS!$B$19*$A45)</f>
        <v>0.8596</v>
      </c>
      <c r="AM45" s="28" t="n">
        <f aca="false">REGIONS!$F$11*(1+ASSUMPTIONS!$B$19*$A45)</f>
        <v>0.8596</v>
      </c>
      <c r="AN45" s="28" t="n">
        <f aca="false">REGIONS!$F$12*(1+ASSUMPTIONS!$B$19*$A45)</f>
        <v>1.3508</v>
      </c>
      <c r="AO45" s="28" t="n">
        <f aca="false">REGIONS!$F$13*(1+ASSUMPTIONS!$B$19*$A45)</f>
        <v>1.4736</v>
      </c>
      <c r="AP45" s="28" t="n">
        <f aca="false">REGIONS!$F$14*(1+ASSUMPTIONS!$B$19*$A45)</f>
        <v>1.4736</v>
      </c>
      <c r="AQ45" s="11" t="n">
        <f aca="false">SUMPRODUCT(($D$8:$D$47=REGIONS!$B$7)*($A$8:$A$47&lt;=$A45)*$L$8:$L$47)+SUMPRODUCT(($N$8:$N$47=REGIONS!$B$7)*($A$8:$A$47&lt;=$A45)*$V$8:$V$47)</f>
        <v>0</v>
      </c>
      <c r="AR45" s="11" t="n">
        <f aca="false">SUMPRODUCT(($D$8:$D$47=REGIONS!$B$8)*($A$8:$A$47&lt;=$A45)*$L$8:$L$47)+SUMPRODUCT(($N$8:$N$47=REGIONS!$B$8)*($A$8:$A$47&lt;=$A45)*$V$8:$V$47)</f>
        <v>0</v>
      </c>
      <c r="AS45" s="11" t="n">
        <f aca="false">SUMPRODUCT(($D$8:$D$47=REGIONS!$B$9)*($A$8:$A$47&lt;=$A45)*$L$8:$L$47)+SUMPRODUCT(($N$8:$N$47=REGIONS!$B$9)*($A$8:$A$47&lt;=$A45)*$V$8:$V$47)</f>
        <v>0</v>
      </c>
      <c r="AT45" s="11" t="n">
        <f aca="false">SUMPRODUCT(($D$8:$D$47=REGIONS!$B$10)*($A$8:$A$47&lt;=$A45)*$L$8:$L$47)+SUMPRODUCT(($N$8:$N$47=REGIONS!$B$10)*($A$8:$A$47&lt;=$A45)*$V$8:$V$47)</f>
        <v>0</v>
      </c>
      <c r="AU45" s="11" t="n">
        <f aca="false">SUMPRODUCT(($D$8:$D$47=REGIONS!$B$11)*($A$8:$A$47&lt;=$A45)*$L$8:$L$47)+SUMPRODUCT(($N$8:$N$47=REGIONS!$B$11)*($A$8:$A$47&lt;=$A45)*$V$8:$V$47)</f>
        <v>0</v>
      </c>
      <c r="AV45" s="11" t="n">
        <f aca="false">SUMPRODUCT(($D$8:$D$47=REGIONS!$B$12)*($A$8:$A$47&lt;=$A45)*$L$8:$L$47)+SUMPRODUCT(($N$8:$N$47=REGIONS!$B$12)*($A$8:$A$47&lt;=$A45)*$V$8:$V$47)</f>
        <v>0</v>
      </c>
      <c r="AW45" s="11" t="n">
        <f aca="false">SUMPRODUCT(($D$8:$D$47=REGIONS!$B$13)*($A$8:$A$47&lt;=$A45)*$L$8:$L$47)+SUMPRODUCT(($N$8:$N$47=REGIONS!$B$13)*($A$8:$A$47&lt;=$A45)*$V$8:$V$47)</f>
        <v>0</v>
      </c>
      <c r="AX45" s="11" t="n">
        <f aca="false">SUMPRODUCT(($D$8:$D$47=REGIONS!$B$14)*($A$8:$A$47&lt;=$A45)*$L$8:$L$47)+SUMPRODUCT(($N$8:$N$47=REGIONS!$B$14)*($A$8:$A$47&lt;=$A45)*$V$8:$V$47)</f>
        <v>0</v>
      </c>
      <c r="AY45" s="12" t="n">
        <f aca="false">MAX(0,MIN(135,100-(MAX(0,-$AA45)*REGIONS!$E$7*ASSUMPTIONS!$B$7+MAX(0,$AA45-ASSUMPTIONS!$B$9)*REGIONS!$E$7*ASSUMPTIONS!$B$8)*(1-$AQ45/100)))</f>
        <v>97.2966</v>
      </c>
      <c r="AZ45" s="12" t="n">
        <f aca="false">MAX(0,MIN(135,100-(MAX(0,-$AB45)*REGIONS!$E$8*ASSUMPTIONS!$B$7+MAX(0,$AB45-ASSUMPTIONS!$B$9)*REGIONS!$E$8*ASSUMPTIONS!$B$8)*(1-$AR45/100)))</f>
        <v>94.93956</v>
      </c>
      <c r="BA45" s="12" t="n">
        <f aca="false">MAX(0,MIN(135,100-(MAX(0,-$AC45)*REGIONS!$E$9*ASSUMPTIONS!$B$7+MAX(0,$AC45-ASSUMPTIONS!$B$9)*REGIONS!$E$9*ASSUMPTIONS!$B$8)*(1-$AS45/100)))</f>
        <v>100</v>
      </c>
      <c r="BB45" s="12" t="n">
        <f aca="false">MAX(0,MIN(135,100-(MAX(0,-$AD45)*REGIONS!$E$10*ASSUMPTIONS!$B$7+MAX(0,$AD45-ASSUMPTIONS!$B$9)*REGIONS!$E$10*ASSUMPTIONS!$B$8)*(1-$AT45/100)))</f>
        <v>100</v>
      </c>
      <c r="BC45" s="12" t="n">
        <f aca="false">MAX(0,MIN(135,100-(MAX(0,-$AE45)*REGIONS!$E$11*ASSUMPTIONS!$B$7+MAX(0,$AE45-ASSUMPTIONS!$B$9)*REGIONS!$E$11*ASSUMPTIONS!$B$8)*(1-$AU45/100)))</f>
        <v>100</v>
      </c>
      <c r="BD45" s="12" t="n">
        <f aca="false">MAX(0,MIN(135,100-(MAX(0,-$AF45)*REGIONS!$E$12*ASSUMPTIONS!$B$7+MAX(0,$AF45-ASSUMPTIONS!$B$9)*REGIONS!$E$12*ASSUMPTIONS!$B$8)*(1-$AV45/100)))</f>
        <v>100</v>
      </c>
      <c r="BE45" s="12" t="n">
        <f aca="false">MAX(0,MIN(135,100-(MAX(0,-$AG45)*REGIONS!$E$13*ASSUMPTIONS!$B$7+MAX(0,$AG45-ASSUMPTIONS!$B$9)*REGIONS!$E$13*ASSUMPTIONS!$B$8)*(1-$AW45/100)))</f>
        <v>100</v>
      </c>
      <c r="BF45" s="12" t="n">
        <f aca="false">MAX(0,MIN(135,100-(MAX(0,-$AH45)*REGIONS!$E$14*ASSUMPTIONS!$B$7+MAX(0,$AH45-ASSUMPTIONS!$B$9)*REGIONS!$E$14*ASSUMPTIONS!$B$8)*(1-$AX45/100)))</f>
        <v>100</v>
      </c>
      <c r="BG45" s="12" t="n">
        <f aca="false">$AY45*REGIONS!$D$7/100+$AZ45*REGIONS!$D$8/100+$BA45*REGIONS!$D$9/100+$BB45*REGIONS!$D$10/100+$BC45*REGIONS!$D$11/100+$BD45*REGIONS!$D$12/100+$BE45*REGIONS!$D$13/100+$BF45*REGIONS!$D$14/100</f>
        <v>98.6496496</v>
      </c>
      <c r="BH45" s="12" t="n">
        <f aca="false">100*(100/MAX(1,$BG45))^ASSUMPTIONS!$B$10</f>
        <v>102.477380466204</v>
      </c>
      <c r="BI45" s="12" t="n">
        <f aca="false">$AY45*$BH45/100*ASSUMPTIONS!$B$11</f>
        <v>84.7509559182781</v>
      </c>
      <c r="BJ45" s="28" t="n">
        <f aca="false">MAX(0,ABS($AA45)-$AI45*ASSUMPTIONS!$B$24)*REGIONS!$D$7/100+MAX(0,ABS($AB45)-$AJ45*ASSUMPTIONS!$B$24)*REGIONS!$D$8/100+MAX(0,ABS($AC45)-$AK45*ASSUMPTIONS!$B$24)*REGIONS!$D$9/100+MAX(0,ABS($AD45)-$AL45*ASSUMPTIONS!$B$24)*REGIONS!$D$10/100+MAX(0,ABS($AE45)-$AM45*ASSUMPTIONS!$B$24)*REGIONS!$D$11/100+MAX(0,ABS($AF45)-$AN45*ASSUMPTIONS!$B$24)*REGIONS!$D$12/100+MAX(0,ABS($AG45)-$AO45*ASSUMPTIONS!$B$24)*REGIONS!$D$13/100+MAX(0,ABS($AH45)-$AP45*ASSUMPTIONS!$B$24)*REGIONS!$D$14/100</f>
        <v>0</v>
      </c>
      <c r="BK45" s="12" t="n">
        <f aca="false">MIN(ASSUMPTIONS!$B$14,ASSUMPTIONS!$B$12+$BJ45*ASSUMPTIONS!$B$13)</f>
        <v>28</v>
      </c>
      <c r="BL45" s="11" t="n">
        <f aca="false">$H45+$R45</f>
        <v>0</v>
      </c>
      <c r="BM45" s="11" t="n">
        <f aca="false">PLAY!$H45</f>
        <v>0</v>
      </c>
      <c r="BN45" s="12" t="n">
        <f aca="false">$BI45*ASSUMPTIONS!$B$15+$BK45*ASSUMPTIONS!$B$16</f>
        <v>35.3701147101934</v>
      </c>
      <c r="BO45" s="12" t="n">
        <f aca="false">$BO44+$BN45-$BL45-$BM45-ASSUMPTIONS!$B$23</f>
        <v>286.384889905517</v>
      </c>
      <c r="BP45" s="12" t="n">
        <f aca="false">(SUMPRODUCT(($F$8:$F$44+$A$8:$A$44=$A45)*($C$8:$C$44&lt;&gt;"NONE")*$G$8:$G$44)+SUMPRODUCT(($P$8:$P$44+$A$8:$A$44=$A45)*($M$8:$M$44&lt;&gt;"NONE")*$Q$8:$Q$44))*(1+ASSUMPTIONS!$B$22*(MAX(0,ABS($AA45)/$AI45-1)+MAX(0,ABS($AB45)/$AJ45-1)+MAX(0,ABS($AC45)/$AK45-1)+MAX(0,ABS($AD45)/$AL45-1)+MAX(0,ABS($AE45)/$AM45-1)+MAX(0,ABS($AF45)/$AN45-1)+MAX(0,ABS($AG45)/$AO45-1)+MAX(0,ABS($AH45)/$AP45-1))/8)</f>
        <v>0</v>
      </c>
      <c r="BQ45" s="12" t="n">
        <f aca="false">MAX(0,$BQ44*(1-ASSUMPTIONS!$B$18)+$BP45-$BM45*ASSUMPTIONS!$B$17)</f>
        <v>0.485807514712654</v>
      </c>
    </row>
    <row r="46" customFormat="false" ht="15" hidden="false" customHeight="false" outlineLevel="0" collapsed="false">
      <c r="A46" s="13" t="n">
        <v>39</v>
      </c>
      <c r="B46" s="11" t="n">
        <f aca="false">CLIMATE!B46</f>
        <v>1955</v>
      </c>
      <c r="C46" s="13" t="str">
        <f aca="false">IFERROR(INDEX(CAPABILITIES!$B$7:$B$15,MATCH(PLAY!$D46,CAPABILITIES!$A$7:$A$15,0)),"NONE")</f>
        <v>NONE</v>
      </c>
      <c r="D46" s="13" t="n">
        <f aca="false">IFERROR(IF(INDEX(CAPABILITIES!$B$7:$B$15,MATCH(PLAY!$D46,CAPABILITIES!$A$7:$A$15,0))="DRIVER",INDEX(CAPABILITIES!$C$7:$C$15,MATCH(PLAY!$D46,CAPABILITIES!$A$7:$A$15,0)),PLAY!$E46),"")</f>
        <v>0</v>
      </c>
      <c r="E46" s="13" t="n">
        <f aca="false">IFERROR(INDEX(CAPABILITIES!$D$7:$D$15,MATCH(PLAY!$D46,CAPABILITIES!$A$7:$A$15,0))*IF(INDEX(CAPABILITIES!$K$7:$K$15,MATCH(PLAY!$D46,CAPABILITIES!$A$7:$A$15,0))="Y",IF(IFERROR(INDEX($AA45:$AH45,MATCH(PLAY!$E46,REGIONS!$B$7:$B$14,0)),0)&lt;ASSUMPTIONS!$B$20,1,ASSUMPTIONS!$B$21),1),0)</f>
        <v>0</v>
      </c>
      <c r="F46" s="13" t="n">
        <f aca="false">IFERROR(INDEX(CAPABILITIES!$E$7:$E$15,MATCH(PLAY!$D46,CAPABILITIES!$A$7:$A$15,0)),0)</f>
        <v>0</v>
      </c>
      <c r="G46" s="13" t="n">
        <f aca="false">IFERROR(INDEX(CAPABILITIES!$F$7:$F$15,MATCH(PLAY!$D46,CAPABILITIES!$A$7:$A$15,0)),0)</f>
        <v>0</v>
      </c>
      <c r="H46" s="13" t="n">
        <f aca="false">IFERROR(INDEX(CAPABILITIES!$G$7:$G$15,MATCH(PLAY!$D46,CAPABILITIES!$A$7:$A$15,0)),0)</f>
        <v>0</v>
      </c>
      <c r="I46" s="13" t="n">
        <f aca="false">IFERROR(INDEX(CAPABILITIES!$H$7:$H$15,MATCH(PLAY!$D46,CAPABILITIES!$A$7:$A$15,0)),"")</f>
        <v>0</v>
      </c>
      <c r="J46" s="13" t="n">
        <f aca="false">IFERROR(INDEX(CAPABILITIES!$D$7:$D$15,MATCH(PLAY!$D46,CAPABILITIES!$A$7:$A$15,0))*INDEX(CAPABILITIES!$I$7:$I$15,MATCH(PLAY!$D46,CAPABILITIES!$A$7:$A$15,0)),0)</f>
        <v>0</v>
      </c>
      <c r="K46" s="13" t="n">
        <f aca="false">IFERROR(INDEX(CAPABILITIES!$E$7:$E$15,MATCH(PLAY!$D46,CAPABILITIES!$A$7:$A$15,0))+INDEX(CAPABILITIES!$J$7:$J$15,MATCH(PLAY!$D46,CAPABILITIES!$A$7:$A$15,0)),0)</f>
        <v>0</v>
      </c>
      <c r="L46" s="13" t="n">
        <f aca="false">IFERROR(INDEX(CAPABILITIES!$L$7:$L$15,MATCH(PLAY!$D46,CAPABILITIES!$A$7:$A$15,0)),0)</f>
        <v>0</v>
      </c>
      <c r="M46" s="13" t="str">
        <f aca="false">IFERROR(INDEX(CAPABILITIES!$B$7:$B$15,MATCH(PLAY!$F46,CAPABILITIES!$A$7:$A$15,0)),"NONE")</f>
        <v>NONE</v>
      </c>
      <c r="N46" s="13" t="n">
        <f aca="false">IFERROR(IF(INDEX(CAPABILITIES!$B$7:$B$15,MATCH(PLAY!$F46,CAPABILITIES!$A$7:$A$15,0))="DRIVER",INDEX(CAPABILITIES!$C$7:$C$15,MATCH(PLAY!$F46,CAPABILITIES!$A$7:$A$15,0)),PLAY!$G46),"")</f>
        <v>0</v>
      </c>
      <c r="O46" s="13" t="n">
        <f aca="false">IFERROR(INDEX(CAPABILITIES!$D$7:$D$15,MATCH(PLAY!$F46,CAPABILITIES!$A$7:$A$15,0))*IF(INDEX(CAPABILITIES!$K$7:$K$15,MATCH(PLAY!$F46,CAPABILITIES!$A$7:$A$15,0))="Y",IF(IFERROR(INDEX($AA45:$AH45,MATCH(PLAY!$G46,REGIONS!$B$7:$B$14,0)),0)&lt;ASSUMPTIONS!$B$20,1,ASSUMPTIONS!$B$21),1),0)</f>
        <v>0</v>
      </c>
      <c r="P46" s="13" t="n">
        <f aca="false">IFERROR(INDEX(CAPABILITIES!$E$7:$E$15,MATCH(PLAY!$F46,CAPABILITIES!$A$7:$A$15,0)),0)</f>
        <v>0</v>
      </c>
      <c r="Q46" s="13" t="n">
        <f aca="false">IFERROR(INDEX(CAPABILITIES!$F$7:$F$15,MATCH(PLAY!$F46,CAPABILITIES!$A$7:$A$15,0)),0)</f>
        <v>0</v>
      </c>
      <c r="R46" s="13" t="n">
        <f aca="false">IFERROR(INDEX(CAPABILITIES!$G$7:$G$15,MATCH(PLAY!$F46,CAPABILITIES!$A$7:$A$15,0)),0)</f>
        <v>0</v>
      </c>
      <c r="S46" s="13" t="n">
        <f aca="false">IFERROR(INDEX(CAPABILITIES!$H$7:$H$15,MATCH(PLAY!$F46,CAPABILITIES!$A$7:$A$15,0)),"")</f>
        <v>0</v>
      </c>
      <c r="T46" s="13" t="n">
        <f aca="false">IFERROR(INDEX(CAPABILITIES!$D$7:$D$15,MATCH(PLAY!$F46,CAPABILITIES!$A$7:$A$15,0))*INDEX(CAPABILITIES!$I$7:$I$15,MATCH(PLAY!$F46,CAPABILITIES!$A$7:$A$15,0)),0)</f>
        <v>0</v>
      </c>
      <c r="U46" s="13" t="n">
        <f aca="false">IFERROR(INDEX(CAPABILITIES!$E$7:$E$15,MATCH(PLAY!$F46,CAPABILITIES!$A$7:$A$15,0))+INDEX(CAPABILITIES!$J$7:$J$15,MATCH(PLAY!$F46,CAPABILITIES!$A$7:$A$15,0)),0)</f>
        <v>0</v>
      </c>
      <c r="V46" s="13" t="n">
        <f aca="false">IFERROR(INDEX(CAPABILITIES!$L$7:$L$15,MATCH(PLAY!$F46,CAPABILITIES!$A$7:$A$15,0)),0)</f>
        <v>0</v>
      </c>
      <c r="W46" s="28" t="n">
        <f aca="false">CLIMATE!D46+SUMPRODUCT(($D$8:$D$45="ENSO")*($F$8:$F$45+$A$8:$A$45=$A46)*$E$8:$E$45)+SUMPRODUCT(($I$8:$I$45="ENSO")*($K$8:$K$45+$A$8:$A$45=$A46)*$J$8:$J$45)+SUMPRODUCT(($N$8:$N$45="ENSO")*($P$8:$P$45+$A$8:$A$45=$A46)*$O$8:$O$45)+SUMPRODUCT(($S$8:$S$45="ENSO")*($U$8:$U$45+$A$8:$A$45=$A46)*$T$8:$T$45)</f>
        <v>-1.346</v>
      </c>
      <c r="X46" s="28" t="n">
        <f aca="false">CLIMATE!E46+SUMPRODUCT(($D$8:$D$45="IOD")*($F$8:$F$45+$A$8:$A$45=$A46)*$E$8:$E$45)+SUMPRODUCT(($I$8:$I$45="IOD")*($K$8:$K$45+$A$8:$A$45=$A46)*$J$8:$J$45)+SUMPRODUCT(($N$8:$N$45="IOD")*($P$8:$P$45+$A$8:$A$45=$A46)*$O$8:$O$45)+SUMPRODUCT(($S$8:$S$45="IOD")*($U$8:$U$45+$A$8:$A$45=$A46)*$T$8:$T$45)</f>
        <v>-0.598</v>
      </c>
      <c r="Y46" s="28" t="n">
        <f aca="false">CLIMATE!F46+SUMPRODUCT(($D$8:$D$45="NATL")*($F$8:$F$45+$A$8:$A$45=$A46)*$E$8:$E$45)+SUMPRODUCT(($I$8:$I$45="NATL")*($K$8:$K$45+$A$8:$A$45=$A46)*$J$8:$J$45)+SUMPRODUCT(($N$8:$N$45="NATL")*($P$8:$P$45+$A$8:$A$45=$A46)*$O$8:$O$45)+SUMPRODUCT(($S$8:$S$45="NATL")*($U$8:$U$45+$A$8:$A$45=$A46)*$T$8:$T$45)</f>
        <v>0.041</v>
      </c>
      <c r="Z46" s="28" t="n">
        <f aca="false">CLIMATE!G46+SUMPRODUCT(($D$8:$D$45="GLOBAL")*($F$8:$F$45+$A$8:$A$45=$A46)*$E$8:$E$45)+SUMPRODUCT(($I$8:$I$45="GLOBAL")*($K$8:$K$45+$A$8:$A$45=$A46)*$J$8:$J$45)+SUMPRODUCT(($N$8:$N$45="GLOBAL")*($P$8:$P$45+$A$8:$A$45=$A46)*$O$8:$O$45)+SUMPRODUCT(($S$8:$S$45="GLOBAL")*($U$8:$U$45+$A$8:$A$45=$A46)*$T$8:$T$45)</f>
        <v>0</v>
      </c>
      <c r="AA46" s="28" t="n">
        <f aca="false">CLIMATE!H46+IFERROR(INDEX($W$8:$W$47,$A46-GRAPH!B17),0)*GRAPH!B9+IFERROR(INDEX($X$8:$X$47,$A46-GRAPH!B18),0)*GRAPH!B10+IFERROR(INDEX($Y$8:$Y$47,$A46-GRAPH!B19),0)*GRAPH!B11+IFERROR(INDEX($Z$8:$Z$47,$A46-GRAPH!B20),0)*GRAPH!B12+SUMPRODUCT(($D$8:$D$45=REGIONS!$B$7)*($F$8:$F$45+$A$8:$A$45=$A46)*$E$8:$E$45)+SUMPRODUCT(($N$8:$N$45=REGIONS!$B$7)*($P$8:$P$45+$A$8:$A$45=$A46)*$O$8:$O$45)</f>
        <v>0.0517</v>
      </c>
      <c r="AB46" s="28" t="n">
        <f aca="false">CLIMATE!I46+IFERROR(INDEX($W$8:$W$47,$A46-GRAPH!C17),0)*GRAPH!C9+IFERROR(INDEX($X$8:$X$47,$A46-GRAPH!C18),0)*GRAPH!C10+IFERROR(INDEX($Y$8:$Y$47,$A46-GRAPH!C19),0)*GRAPH!C11+IFERROR(INDEX($Z$8:$Z$47,$A46-GRAPH!C20),0)*GRAPH!C12+SUMPRODUCT(($D$8:$D$45=REGIONS!$B$8)*($F$8:$F$45+$A$8:$A$45=$A46)*$E$8:$E$45)+SUMPRODUCT(($N$8:$N$45=REGIONS!$B$8)*($P$8:$P$45+$A$8:$A$45=$A46)*$O$8:$O$45)</f>
        <v>-0.374</v>
      </c>
      <c r="AC46" s="28" t="n">
        <f aca="false">CLIMATE!J46+IFERROR(INDEX($W$8:$W$47,$A46-GRAPH!D17),0)*GRAPH!D9+IFERROR(INDEX($X$8:$X$47,$A46-GRAPH!D18),0)*GRAPH!D10+IFERROR(INDEX($Y$8:$Y$47,$A46-GRAPH!D19),0)*GRAPH!D11+IFERROR(INDEX($Z$8:$Z$47,$A46-GRAPH!D20),0)*GRAPH!D12+SUMPRODUCT(($D$8:$D$45=REGIONS!$B$9)*($F$8:$F$45+$A$8:$A$45=$A46)*$E$8:$E$45)+SUMPRODUCT(($N$8:$N$45=REGIONS!$B$9)*($P$8:$P$45+$A$8:$A$45=$A46)*$O$8:$O$45)</f>
        <v>-0.24</v>
      </c>
      <c r="AD46" s="28" t="n">
        <f aca="false">CLIMATE!K46+IFERROR(INDEX($W$8:$W$47,$A46-GRAPH!E17),0)*GRAPH!E9+IFERROR(INDEX($X$8:$X$47,$A46-GRAPH!E18),0)*GRAPH!E10+IFERROR(INDEX($Y$8:$Y$47,$A46-GRAPH!E19),0)*GRAPH!E11+IFERROR(INDEX($Z$8:$Z$47,$A46-GRAPH!E20),0)*GRAPH!E12+SUMPRODUCT(($D$8:$D$45=REGIONS!$B$10)*($F$8:$F$45+$A$8:$A$45=$A46)*$E$8:$E$45)+SUMPRODUCT(($N$8:$N$45=REGIONS!$B$10)*($P$8:$P$45+$A$8:$A$45=$A46)*$O$8:$O$45)</f>
        <v>1.1762</v>
      </c>
      <c r="AE46" s="28" t="n">
        <f aca="false">CLIMATE!L46+IFERROR(INDEX($W$8:$W$47,$A46-GRAPH!F17),0)*GRAPH!F9+IFERROR(INDEX($X$8:$X$47,$A46-GRAPH!F18),0)*GRAPH!F10+IFERROR(INDEX($Y$8:$Y$47,$A46-GRAPH!F19),0)*GRAPH!F11+IFERROR(INDEX($Z$8:$Z$47,$A46-GRAPH!F20),0)*GRAPH!F12+SUMPRODUCT(($D$8:$D$45=REGIONS!$B$11)*($F$8:$F$45+$A$8:$A$45=$A46)*$E$8:$E$45)+SUMPRODUCT(($N$8:$N$45=REGIONS!$B$11)*($P$8:$P$45+$A$8:$A$45=$A46)*$O$8:$O$45)</f>
        <v>0.6478</v>
      </c>
      <c r="AF46" s="28" t="n">
        <f aca="false">CLIMATE!M46+IFERROR(INDEX($W$8:$W$47,$A46-GRAPH!G17),0)*GRAPH!G9+IFERROR(INDEX($X$8:$X$47,$A46-GRAPH!G18),0)*GRAPH!G10+IFERROR(INDEX($Y$8:$Y$47,$A46-GRAPH!G19),0)*GRAPH!G11+IFERROR(INDEX($Z$8:$Z$47,$A46-GRAPH!G20),0)*GRAPH!G12+SUMPRODUCT(($D$8:$D$45=REGIONS!$B$12)*($F$8:$F$45+$A$8:$A$45=$A46)*$E$8:$E$45)+SUMPRODUCT(($N$8:$N$45=REGIONS!$B$12)*($P$8:$P$45+$A$8:$A$45=$A46)*$O$8:$O$45)</f>
        <v>1.1402</v>
      </c>
      <c r="AG46" s="28" t="n">
        <f aca="false">CLIMATE!N46+IFERROR(INDEX($W$8:$W$47,$A46-GRAPH!H17),0)*GRAPH!H9+IFERROR(INDEX($X$8:$X$47,$A46-GRAPH!H18),0)*GRAPH!H10+IFERROR(INDEX($Y$8:$Y$47,$A46-GRAPH!H19),0)*GRAPH!H11+IFERROR(INDEX($Z$8:$Z$47,$A46-GRAPH!H20),0)*GRAPH!H12+SUMPRODUCT(($D$8:$D$45=REGIONS!$B$13)*($F$8:$F$45+$A$8:$A$45=$A46)*$E$8:$E$45)+SUMPRODUCT(($N$8:$N$45=REGIONS!$B$13)*($P$8:$P$45+$A$8:$A$45=$A46)*$O$8:$O$45)</f>
        <v>0.8047</v>
      </c>
      <c r="AH46" s="28" t="n">
        <f aca="false">CLIMATE!O46+IFERROR(INDEX($W$8:$W$47,$A46-GRAPH!I17),0)*GRAPH!I9+IFERROR(INDEX($X$8:$X$47,$A46-GRAPH!I18),0)*GRAPH!I10+IFERROR(INDEX($Y$8:$Y$47,$A46-GRAPH!I19),0)*GRAPH!I11+IFERROR(INDEX($Z$8:$Z$47,$A46-GRAPH!I20),0)*GRAPH!I12+SUMPRODUCT(($D$8:$D$45=REGIONS!$B$14)*($F$8:$F$45+$A$8:$A$45=$A46)*$E$8:$E$45)+SUMPRODUCT(($N$8:$N$45=REGIONS!$B$14)*($P$8:$P$45+$A$8:$A$45=$A46)*$O$8:$O$45)</f>
        <v>-0.206</v>
      </c>
      <c r="AI46" s="28" t="n">
        <f aca="false">REGIONS!$F$7*(1+ASSUMPTIONS!$B$19*$A46)</f>
        <v>0.9872</v>
      </c>
      <c r="AJ46" s="28" t="n">
        <f aca="false">REGIONS!$F$8*(1+ASSUMPTIONS!$B$19*$A46)</f>
        <v>1.1106</v>
      </c>
      <c r="AK46" s="28" t="n">
        <f aca="false">REGIONS!$F$9*(1+ASSUMPTIONS!$B$19*$A46)</f>
        <v>1.1106</v>
      </c>
      <c r="AL46" s="28" t="n">
        <f aca="false">REGIONS!$F$10*(1+ASSUMPTIONS!$B$19*$A46)</f>
        <v>0.8638</v>
      </c>
      <c r="AM46" s="28" t="n">
        <f aca="false">REGIONS!$F$11*(1+ASSUMPTIONS!$B$19*$A46)</f>
        <v>0.8638</v>
      </c>
      <c r="AN46" s="28" t="n">
        <f aca="false">REGIONS!$F$12*(1+ASSUMPTIONS!$B$19*$A46)</f>
        <v>1.3574</v>
      </c>
      <c r="AO46" s="28" t="n">
        <f aca="false">REGIONS!$F$13*(1+ASSUMPTIONS!$B$19*$A46)</f>
        <v>1.4808</v>
      </c>
      <c r="AP46" s="28" t="n">
        <f aca="false">REGIONS!$F$14*(1+ASSUMPTIONS!$B$19*$A46)</f>
        <v>1.4808</v>
      </c>
      <c r="AQ46" s="11" t="n">
        <f aca="false">SUMPRODUCT(($D$8:$D$47=REGIONS!$B$7)*($A$8:$A$47&lt;=$A46)*$L$8:$L$47)+SUMPRODUCT(($N$8:$N$47=REGIONS!$B$7)*($A$8:$A$47&lt;=$A46)*$V$8:$V$47)</f>
        <v>0</v>
      </c>
      <c r="AR46" s="11" t="n">
        <f aca="false">SUMPRODUCT(($D$8:$D$47=REGIONS!$B$8)*($A$8:$A$47&lt;=$A46)*$L$8:$L$47)+SUMPRODUCT(($N$8:$N$47=REGIONS!$B$8)*($A$8:$A$47&lt;=$A46)*$V$8:$V$47)</f>
        <v>0</v>
      </c>
      <c r="AS46" s="11" t="n">
        <f aca="false">SUMPRODUCT(($D$8:$D$47=REGIONS!$B$9)*($A$8:$A$47&lt;=$A46)*$L$8:$L$47)+SUMPRODUCT(($N$8:$N$47=REGIONS!$B$9)*($A$8:$A$47&lt;=$A46)*$V$8:$V$47)</f>
        <v>0</v>
      </c>
      <c r="AT46" s="11" t="n">
        <f aca="false">SUMPRODUCT(($D$8:$D$47=REGIONS!$B$10)*($A$8:$A$47&lt;=$A46)*$L$8:$L$47)+SUMPRODUCT(($N$8:$N$47=REGIONS!$B$10)*($A$8:$A$47&lt;=$A46)*$V$8:$V$47)</f>
        <v>0</v>
      </c>
      <c r="AU46" s="11" t="n">
        <f aca="false">SUMPRODUCT(($D$8:$D$47=REGIONS!$B$11)*($A$8:$A$47&lt;=$A46)*$L$8:$L$47)+SUMPRODUCT(($N$8:$N$47=REGIONS!$B$11)*($A$8:$A$47&lt;=$A46)*$V$8:$V$47)</f>
        <v>0</v>
      </c>
      <c r="AV46" s="11" t="n">
        <f aca="false">SUMPRODUCT(($D$8:$D$47=REGIONS!$B$12)*($A$8:$A$47&lt;=$A46)*$L$8:$L$47)+SUMPRODUCT(($N$8:$N$47=REGIONS!$B$12)*($A$8:$A$47&lt;=$A46)*$V$8:$V$47)</f>
        <v>0</v>
      </c>
      <c r="AW46" s="11" t="n">
        <f aca="false">SUMPRODUCT(($D$8:$D$47=REGIONS!$B$13)*($A$8:$A$47&lt;=$A46)*$L$8:$L$47)+SUMPRODUCT(($N$8:$N$47=REGIONS!$B$13)*($A$8:$A$47&lt;=$A46)*$V$8:$V$47)</f>
        <v>0</v>
      </c>
      <c r="AX46" s="11" t="n">
        <f aca="false">SUMPRODUCT(($D$8:$D$47=REGIONS!$B$14)*($A$8:$A$47&lt;=$A46)*$L$8:$L$47)+SUMPRODUCT(($N$8:$N$47=REGIONS!$B$14)*($A$8:$A$47&lt;=$A46)*$V$8:$V$47)</f>
        <v>0</v>
      </c>
      <c r="AY46" s="12" t="n">
        <f aca="false">MAX(0,MIN(135,100-(MAX(0,-$AA46)*REGIONS!$E$7*ASSUMPTIONS!$B$7+MAX(0,$AA46-ASSUMPTIONS!$B$9)*REGIONS!$E$7*ASSUMPTIONS!$B$8)*(1-$AQ46/100)))</f>
        <v>100</v>
      </c>
      <c r="AZ46" s="12" t="n">
        <f aca="false">MAX(0,MIN(135,100-(MAX(0,-$AB46)*REGIONS!$E$8*ASSUMPTIONS!$B$7+MAX(0,$AB46-ASSUMPTIONS!$B$9)*REGIONS!$E$8*ASSUMPTIONS!$B$8)*(1-$AR46/100)))</f>
        <v>94.2404</v>
      </c>
      <c r="BA46" s="12" t="n">
        <f aca="false">MAX(0,MIN(135,100-(MAX(0,-$AC46)*REGIONS!$E$9*ASSUMPTIONS!$B$7+MAX(0,$AC46-ASSUMPTIONS!$B$9)*REGIONS!$E$9*ASSUMPTIONS!$B$8)*(1-$AS46/100)))</f>
        <v>96.64</v>
      </c>
      <c r="BB46" s="12" t="n">
        <f aca="false">MAX(0,MIN(135,100-(MAX(0,-$AD46)*REGIONS!$E$10*ASSUMPTIONS!$B$7+MAX(0,$AD46-ASSUMPTIONS!$B$9)*REGIONS!$E$10*ASSUMPTIONS!$B$8)*(1-$AT46/100)))</f>
        <v>100</v>
      </c>
      <c r="BC46" s="12" t="n">
        <f aca="false">MAX(0,MIN(135,100-(MAX(0,-$AE46)*REGIONS!$E$11*ASSUMPTIONS!$B$7+MAX(0,$AE46-ASSUMPTIONS!$B$9)*REGIONS!$E$11*ASSUMPTIONS!$B$8)*(1-$AU46/100)))</f>
        <v>100</v>
      </c>
      <c r="BD46" s="12" t="n">
        <f aca="false">MAX(0,MIN(135,100-(MAX(0,-$AF46)*REGIONS!$E$12*ASSUMPTIONS!$B$7+MAX(0,$AF46-ASSUMPTIONS!$B$9)*REGIONS!$E$12*ASSUMPTIONS!$B$8)*(1-$AV46/100)))</f>
        <v>100</v>
      </c>
      <c r="BE46" s="12" t="n">
        <f aca="false">MAX(0,MIN(135,100-(MAX(0,-$AG46)*REGIONS!$E$13*ASSUMPTIONS!$B$7+MAX(0,$AG46-ASSUMPTIONS!$B$9)*REGIONS!$E$13*ASSUMPTIONS!$B$8)*(1-$AW46/100)))</f>
        <v>100</v>
      </c>
      <c r="BF46" s="12" t="n">
        <f aca="false">MAX(0,MIN(135,100-(MAX(0,-$AH46)*REGIONS!$E$14*ASSUMPTIONS!$B$7+MAX(0,$AH46-ASSUMPTIONS!$B$9)*REGIONS!$E$14*ASSUMPTIONS!$B$8)*(1-$AX46/100)))</f>
        <v>95.9624</v>
      </c>
      <c r="BG46" s="12" t="n">
        <f aca="false">$AY46*REGIONS!$D$7/100+$AZ46*REGIONS!$D$8/100+$BA46*REGIONS!$D$9/100+$BB46*REGIONS!$D$10/100+$BC46*REGIONS!$D$11/100+$BD46*REGIONS!$D$12/100+$BE46*REGIONS!$D$13/100+$BF46*REGIONS!$D$14/100</f>
        <v>98.332208</v>
      </c>
      <c r="BH46" s="12" t="n">
        <f aca="false">100*(100/MAX(1,$BG46))^ASSUMPTIONS!$B$10</f>
        <v>103.07363115294</v>
      </c>
      <c r="BI46" s="12" t="n">
        <f aca="false">$AY46*$BH46/100*ASSUMPTIONS!$B$11</f>
        <v>87.6125864799991</v>
      </c>
      <c r="BJ46" s="28" t="n">
        <f aca="false">MAX(0,ABS($AA46)-$AI46*ASSUMPTIONS!$B$24)*REGIONS!$D$7/100+MAX(0,ABS($AB46)-$AJ46*ASSUMPTIONS!$B$24)*REGIONS!$D$8/100+MAX(0,ABS($AC46)-$AK46*ASSUMPTIONS!$B$24)*REGIONS!$D$9/100+MAX(0,ABS($AD46)-$AL46*ASSUMPTIONS!$B$24)*REGIONS!$D$10/100+MAX(0,ABS($AE46)-$AM46*ASSUMPTIONS!$B$24)*REGIONS!$D$11/100+MAX(0,ABS($AF46)-$AN46*ASSUMPTIONS!$B$24)*REGIONS!$D$12/100+MAX(0,ABS($AG46)-$AO46*ASSUMPTIONS!$B$24)*REGIONS!$D$13/100+MAX(0,ABS($AH46)-$AP46*ASSUMPTIONS!$B$24)*REGIONS!$D$14/100</f>
        <v>0.1036535</v>
      </c>
      <c r="BK46" s="12" t="n">
        <f aca="false">MIN(ASSUMPTIONS!$B$14,ASSUMPTIONS!$B$12+$BJ46*ASSUMPTIONS!$B$13)</f>
        <v>32.353447</v>
      </c>
      <c r="BL46" s="11" t="n">
        <f aca="false">$H46+$R46</f>
        <v>0</v>
      </c>
      <c r="BM46" s="11" t="n">
        <f aca="false">PLAY!$H46</f>
        <v>0</v>
      </c>
      <c r="BN46" s="12" t="n">
        <f aca="false">$BI46*ASSUMPTIONS!$B$15+$BK46*ASSUMPTIONS!$B$16</f>
        <v>39.6316126775999</v>
      </c>
      <c r="BO46" s="12" t="n">
        <f aca="false">$BO45+$BN46-$BL46-$BM46-ASSUMPTIONS!$B$23</f>
        <v>294.016502583117</v>
      </c>
      <c r="BP46" s="12" t="n">
        <f aca="false">(SUMPRODUCT(($F$8:$F$45+$A$8:$A$45=$A46)*($C$8:$C$45&lt;&gt;"NONE")*$G$8:$G$45)+SUMPRODUCT(($P$8:$P$45+$A$8:$A$45=$A46)*($M$8:$M$45&lt;&gt;"NONE")*$Q$8:$Q$45))*(1+ASSUMPTIONS!$B$22*(MAX(0,ABS($AA46)/$AI46-1)+MAX(0,ABS($AB46)/$AJ46-1)+MAX(0,ABS($AC46)/$AK46-1)+MAX(0,ABS($AD46)/$AL46-1)+MAX(0,ABS($AE46)/$AM46-1)+MAX(0,ABS($AF46)/$AN46-1)+MAX(0,ABS($AG46)/$AO46-1)+MAX(0,ABS($AH46)/$AP46-1))/8)</f>
        <v>0</v>
      </c>
      <c r="BQ46" s="12" t="n">
        <f aca="false">MAX(0,$BQ45*(1-ASSUMPTIONS!$B$18)+$BP46-$BM46*ASSUMPTIONS!$B$17)</f>
        <v>0.466375214124148</v>
      </c>
    </row>
    <row r="47" customFormat="false" ht="15" hidden="false" customHeight="false" outlineLevel="0" collapsed="false">
      <c r="A47" s="13" t="n">
        <v>40</v>
      </c>
      <c r="B47" s="11" t="n">
        <f aca="false">CLIMATE!B47</f>
        <v>1955</v>
      </c>
      <c r="C47" s="13" t="str">
        <f aca="false">IFERROR(INDEX(CAPABILITIES!$B$7:$B$15,MATCH(PLAY!$D47,CAPABILITIES!$A$7:$A$15,0)),"NONE")</f>
        <v>NONE</v>
      </c>
      <c r="D47" s="13" t="n">
        <f aca="false">IFERROR(IF(INDEX(CAPABILITIES!$B$7:$B$15,MATCH(PLAY!$D47,CAPABILITIES!$A$7:$A$15,0))="DRIVER",INDEX(CAPABILITIES!$C$7:$C$15,MATCH(PLAY!$D47,CAPABILITIES!$A$7:$A$15,0)),PLAY!$E47),"")</f>
        <v>0</v>
      </c>
      <c r="E47" s="13" t="n">
        <f aca="false">IFERROR(INDEX(CAPABILITIES!$D$7:$D$15,MATCH(PLAY!$D47,CAPABILITIES!$A$7:$A$15,0))*IF(INDEX(CAPABILITIES!$K$7:$K$15,MATCH(PLAY!$D47,CAPABILITIES!$A$7:$A$15,0))="Y",IF(IFERROR(INDEX($AA46:$AH46,MATCH(PLAY!$E47,REGIONS!$B$7:$B$14,0)),0)&lt;ASSUMPTIONS!$B$20,1,ASSUMPTIONS!$B$21),1),0)</f>
        <v>0</v>
      </c>
      <c r="F47" s="13" t="n">
        <f aca="false">IFERROR(INDEX(CAPABILITIES!$E$7:$E$15,MATCH(PLAY!$D47,CAPABILITIES!$A$7:$A$15,0)),0)</f>
        <v>0</v>
      </c>
      <c r="G47" s="13" t="n">
        <f aca="false">IFERROR(INDEX(CAPABILITIES!$F$7:$F$15,MATCH(PLAY!$D47,CAPABILITIES!$A$7:$A$15,0)),0)</f>
        <v>0</v>
      </c>
      <c r="H47" s="13" t="n">
        <f aca="false">IFERROR(INDEX(CAPABILITIES!$G$7:$G$15,MATCH(PLAY!$D47,CAPABILITIES!$A$7:$A$15,0)),0)</f>
        <v>0</v>
      </c>
      <c r="I47" s="13" t="n">
        <f aca="false">IFERROR(INDEX(CAPABILITIES!$H$7:$H$15,MATCH(PLAY!$D47,CAPABILITIES!$A$7:$A$15,0)),"")</f>
        <v>0</v>
      </c>
      <c r="J47" s="13" t="n">
        <f aca="false">IFERROR(INDEX(CAPABILITIES!$D$7:$D$15,MATCH(PLAY!$D47,CAPABILITIES!$A$7:$A$15,0))*INDEX(CAPABILITIES!$I$7:$I$15,MATCH(PLAY!$D47,CAPABILITIES!$A$7:$A$15,0)),0)</f>
        <v>0</v>
      </c>
      <c r="K47" s="13" t="n">
        <f aca="false">IFERROR(INDEX(CAPABILITIES!$E$7:$E$15,MATCH(PLAY!$D47,CAPABILITIES!$A$7:$A$15,0))+INDEX(CAPABILITIES!$J$7:$J$15,MATCH(PLAY!$D47,CAPABILITIES!$A$7:$A$15,0)),0)</f>
        <v>0</v>
      </c>
      <c r="L47" s="13" t="n">
        <f aca="false">IFERROR(INDEX(CAPABILITIES!$L$7:$L$15,MATCH(PLAY!$D47,CAPABILITIES!$A$7:$A$15,0)),0)</f>
        <v>0</v>
      </c>
      <c r="M47" s="13" t="str">
        <f aca="false">IFERROR(INDEX(CAPABILITIES!$B$7:$B$15,MATCH(PLAY!$F47,CAPABILITIES!$A$7:$A$15,0)),"NONE")</f>
        <v>NONE</v>
      </c>
      <c r="N47" s="13" t="n">
        <f aca="false">IFERROR(IF(INDEX(CAPABILITIES!$B$7:$B$15,MATCH(PLAY!$F47,CAPABILITIES!$A$7:$A$15,0))="DRIVER",INDEX(CAPABILITIES!$C$7:$C$15,MATCH(PLAY!$F47,CAPABILITIES!$A$7:$A$15,0)),PLAY!$G47),"")</f>
        <v>0</v>
      </c>
      <c r="O47" s="13" t="n">
        <f aca="false">IFERROR(INDEX(CAPABILITIES!$D$7:$D$15,MATCH(PLAY!$F47,CAPABILITIES!$A$7:$A$15,0))*IF(INDEX(CAPABILITIES!$K$7:$K$15,MATCH(PLAY!$F47,CAPABILITIES!$A$7:$A$15,0))="Y",IF(IFERROR(INDEX($AA46:$AH46,MATCH(PLAY!$G47,REGIONS!$B$7:$B$14,0)),0)&lt;ASSUMPTIONS!$B$20,1,ASSUMPTIONS!$B$21),1),0)</f>
        <v>0</v>
      </c>
      <c r="P47" s="13" t="n">
        <f aca="false">IFERROR(INDEX(CAPABILITIES!$E$7:$E$15,MATCH(PLAY!$F47,CAPABILITIES!$A$7:$A$15,0)),0)</f>
        <v>0</v>
      </c>
      <c r="Q47" s="13" t="n">
        <f aca="false">IFERROR(INDEX(CAPABILITIES!$F$7:$F$15,MATCH(PLAY!$F47,CAPABILITIES!$A$7:$A$15,0)),0)</f>
        <v>0</v>
      </c>
      <c r="R47" s="13" t="n">
        <f aca="false">IFERROR(INDEX(CAPABILITIES!$G$7:$G$15,MATCH(PLAY!$F47,CAPABILITIES!$A$7:$A$15,0)),0)</f>
        <v>0</v>
      </c>
      <c r="S47" s="13" t="n">
        <f aca="false">IFERROR(INDEX(CAPABILITIES!$H$7:$H$15,MATCH(PLAY!$F47,CAPABILITIES!$A$7:$A$15,0)),"")</f>
        <v>0</v>
      </c>
      <c r="T47" s="13" t="n">
        <f aca="false">IFERROR(INDEX(CAPABILITIES!$D$7:$D$15,MATCH(PLAY!$F47,CAPABILITIES!$A$7:$A$15,0))*INDEX(CAPABILITIES!$I$7:$I$15,MATCH(PLAY!$F47,CAPABILITIES!$A$7:$A$15,0)),0)</f>
        <v>0</v>
      </c>
      <c r="U47" s="13" t="n">
        <f aca="false">IFERROR(INDEX(CAPABILITIES!$E$7:$E$15,MATCH(PLAY!$F47,CAPABILITIES!$A$7:$A$15,0))+INDEX(CAPABILITIES!$J$7:$J$15,MATCH(PLAY!$F47,CAPABILITIES!$A$7:$A$15,0)),0)</f>
        <v>0</v>
      </c>
      <c r="V47" s="13" t="n">
        <f aca="false">IFERROR(INDEX(CAPABILITIES!$L$7:$L$15,MATCH(PLAY!$F47,CAPABILITIES!$A$7:$A$15,0)),0)</f>
        <v>0</v>
      </c>
      <c r="W47" s="28" t="n">
        <f aca="false">CLIMATE!D47+SUMPRODUCT(($D$8:$D$46="ENSO")*($F$8:$F$46+$A$8:$A$46=$A47)*$E$8:$E$46)+SUMPRODUCT(($I$8:$I$46="ENSO")*($K$8:$K$46+$A$8:$A$46=$A47)*$J$8:$J$46)+SUMPRODUCT(($N$8:$N$46="ENSO")*($P$8:$P$46+$A$8:$A$46=$A47)*$O$8:$O$46)+SUMPRODUCT(($S$8:$S$46="ENSO")*($U$8:$U$46+$A$8:$A$46=$A47)*$T$8:$T$46)</f>
        <v>-0.249</v>
      </c>
      <c r="X47" s="28" t="n">
        <f aca="false">CLIMATE!E47+SUMPRODUCT(($D$8:$D$46="IOD")*($F$8:$F$46+$A$8:$A$46=$A47)*$E$8:$E$46)+SUMPRODUCT(($I$8:$I$46="IOD")*($K$8:$K$46+$A$8:$A$46=$A47)*$J$8:$J$46)+SUMPRODUCT(($N$8:$N$46="IOD")*($P$8:$P$46+$A$8:$A$46=$A47)*$O$8:$O$46)+SUMPRODUCT(($S$8:$S$46="IOD")*($U$8:$U$46+$A$8:$A$46=$A47)*$T$8:$T$46)</f>
        <v>-1.197</v>
      </c>
      <c r="Y47" s="28" t="n">
        <f aca="false">CLIMATE!F47+SUMPRODUCT(($D$8:$D$46="NATL")*($F$8:$F$46+$A$8:$A$46=$A47)*$E$8:$E$46)+SUMPRODUCT(($I$8:$I$46="NATL")*($K$8:$K$46+$A$8:$A$46=$A47)*$J$8:$J$46)+SUMPRODUCT(($N$8:$N$46="NATL")*($P$8:$P$46+$A$8:$A$46=$A47)*$O$8:$O$46)+SUMPRODUCT(($S$8:$S$46="NATL")*($U$8:$U$46+$A$8:$A$46=$A47)*$T$8:$T$46)</f>
        <v>-0.122</v>
      </c>
      <c r="Z47" s="28" t="n">
        <f aca="false">CLIMATE!G47+SUMPRODUCT(($D$8:$D$46="GLOBAL")*($F$8:$F$46+$A$8:$A$46=$A47)*$E$8:$E$46)+SUMPRODUCT(($I$8:$I$46="GLOBAL")*($K$8:$K$46+$A$8:$A$46=$A47)*$J$8:$J$46)+SUMPRODUCT(($N$8:$N$46="GLOBAL")*($P$8:$P$46+$A$8:$A$46=$A47)*$O$8:$O$46)+SUMPRODUCT(($S$8:$S$46="GLOBAL")*($U$8:$U$46+$A$8:$A$46=$A47)*$T$8:$T$46)</f>
        <v>0</v>
      </c>
      <c r="AA47" s="28" t="n">
        <f aca="false">CLIMATE!H47+IFERROR(INDEX($W$8:$W$47,$A47-GRAPH!B17),0)*GRAPH!B9+IFERROR(INDEX($X$8:$X$47,$A47-GRAPH!B18),0)*GRAPH!B10+IFERROR(INDEX($Y$8:$Y$47,$A47-GRAPH!B19),0)*GRAPH!B11+IFERROR(INDEX($Z$8:$Z$47,$A47-GRAPH!B20),0)*GRAPH!B12+SUMPRODUCT(($D$8:$D$46=REGIONS!$B$7)*($F$8:$F$46+$A$8:$A$46=$A47)*$E$8:$E$46)+SUMPRODUCT(($N$8:$N$46=REGIONS!$B$7)*($P$8:$P$46+$A$8:$A$46=$A47)*$O$8:$O$46)</f>
        <v>-0.1401</v>
      </c>
      <c r="AB47" s="28" t="n">
        <f aca="false">CLIMATE!I47+IFERROR(INDEX($W$8:$W$47,$A47-GRAPH!C17),0)*GRAPH!C9+IFERROR(INDEX($X$8:$X$47,$A47-GRAPH!C18),0)*GRAPH!C10+IFERROR(INDEX($Y$8:$Y$47,$A47-GRAPH!C19),0)*GRAPH!C11+IFERROR(INDEX($Z$8:$Z$47,$A47-GRAPH!C20),0)*GRAPH!C12+SUMPRODUCT(($D$8:$D$46=REGIONS!$B$8)*($F$8:$F$46+$A$8:$A$46=$A47)*$E$8:$E$46)+SUMPRODUCT(($N$8:$N$46=REGIONS!$B$8)*($P$8:$P$46+$A$8:$A$46=$A47)*$O$8:$O$46)</f>
        <v>-0.2714</v>
      </c>
      <c r="AC47" s="28" t="n">
        <f aca="false">CLIMATE!J47+IFERROR(INDEX($W$8:$W$47,$A47-GRAPH!D17),0)*GRAPH!D9+IFERROR(INDEX($X$8:$X$47,$A47-GRAPH!D18),0)*GRAPH!D10+IFERROR(INDEX($Y$8:$Y$47,$A47-GRAPH!D19),0)*GRAPH!D11+IFERROR(INDEX($Z$8:$Z$47,$A47-GRAPH!D20),0)*GRAPH!D12+SUMPRODUCT(($D$8:$D$46=REGIONS!$B$9)*($F$8:$F$46+$A$8:$A$46=$A47)*$E$8:$E$46)+SUMPRODUCT(($N$8:$N$46=REGIONS!$B$9)*($P$8:$P$46+$A$8:$A$46=$A47)*$O$8:$O$46)</f>
        <v>-1.03</v>
      </c>
      <c r="AD47" s="28" t="n">
        <f aca="false">CLIMATE!K47+IFERROR(INDEX($W$8:$W$47,$A47-GRAPH!E17),0)*GRAPH!E9+IFERROR(INDEX($X$8:$X$47,$A47-GRAPH!E18),0)*GRAPH!E10+IFERROR(INDEX($Y$8:$Y$47,$A47-GRAPH!E19),0)*GRAPH!E11+IFERROR(INDEX($Z$8:$Z$47,$A47-GRAPH!E20),0)*GRAPH!E12+SUMPRODUCT(($D$8:$D$46=REGIONS!$B$10)*($F$8:$F$46+$A$8:$A$46=$A47)*$E$8:$E$46)+SUMPRODUCT(($N$8:$N$46=REGIONS!$B$10)*($P$8:$P$46+$A$8:$A$46=$A47)*$O$8:$O$46)</f>
        <v>0.5022</v>
      </c>
      <c r="AE47" s="28" t="n">
        <f aca="false">CLIMATE!L47+IFERROR(INDEX($W$8:$W$47,$A47-GRAPH!F17),0)*GRAPH!F9+IFERROR(INDEX($X$8:$X$47,$A47-GRAPH!F18),0)*GRAPH!F10+IFERROR(INDEX($Y$8:$Y$47,$A47-GRAPH!F19),0)*GRAPH!F11+IFERROR(INDEX($Z$8:$Z$47,$A47-GRAPH!F20),0)*GRAPH!F12+SUMPRODUCT(($D$8:$D$46=REGIONS!$B$11)*($F$8:$F$46+$A$8:$A$46=$A47)*$E$8:$E$46)+SUMPRODUCT(($N$8:$N$46=REGIONS!$B$11)*($P$8:$P$46+$A$8:$A$46=$A47)*$O$8:$O$46)</f>
        <v>0.8078</v>
      </c>
      <c r="AF47" s="28" t="n">
        <f aca="false">CLIMATE!M47+IFERROR(INDEX($W$8:$W$47,$A47-GRAPH!G17),0)*GRAPH!G9+IFERROR(INDEX($X$8:$X$47,$A47-GRAPH!G18),0)*GRAPH!G10+IFERROR(INDEX($Y$8:$Y$47,$A47-GRAPH!G19),0)*GRAPH!G11+IFERROR(INDEX($Z$8:$Z$47,$A47-GRAPH!G20),0)*GRAPH!G12+SUMPRODUCT(($D$8:$D$46=REGIONS!$B$12)*($F$8:$F$46+$A$8:$A$46=$A47)*$E$8:$E$46)+SUMPRODUCT(($N$8:$N$46=REGIONS!$B$12)*($P$8:$P$46+$A$8:$A$46=$A47)*$O$8:$O$46)</f>
        <v>1.2832</v>
      </c>
      <c r="AG47" s="28" t="n">
        <f aca="false">CLIMATE!N47+IFERROR(INDEX($W$8:$W$47,$A47-GRAPH!H17),0)*GRAPH!H9+IFERROR(INDEX($X$8:$X$47,$A47-GRAPH!H18),0)*GRAPH!H10+IFERROR(INDEX($Y$8:$Y$47,$A47-GRAPH!H19),0)*GRAPH!H11+IFERROR(INDEX($Z$8:$Z$47,$A47-GRAPH!H20),0)*GRAPH!H12+SUMPRODUCT(($D$8:$D$46=REGIONS!$B$13)*($F$8:$F$46+$A$8:$A$46=$A47)*$E$8:$E$46)+SUMPRODUCT(($N$8:$N$46=REGIONS!$B$13)*($P$8:$P$46+$A$8:$A$46=$A47)*$O$8:$O$46)</f>
        <v>0.3551</v>
      </c>
      <c r="AH47" s="28" t="n">
        <f aca="false">CLIMATE!O47+IFERROR(INDEX($W$8:$W$47,$A47-GRAPH!I17),0)*GRAPH!I9+IFERROR(INDEX($X$8:$X$47,$A47-GRAPH!I18),0)*GRAPH!I10+IFERROR(INDEX($Y$8:$Y$47,$A47-GRAPH!I19),0)*GRAPH!I11+IFERROR(INDEX($Z$8:$Z$47,$A47-GRAPH!I20),0)*GRAPH!I12+SUMPRODUCT(($D$8:$D$46=REGIONS!$B$14)*($F$8:$F$46+$A$8:$A$46=$A47)*$E$8:$E$46)+SUMPRODUCT(($N$8:$N$46=REGIONS!$B$14)*($P$8:$P$46+$A$8:$A$46=$A47)*$O$8:$O$46)</f>
        <v>-1.0854</v>
      </c>
      <c r="AI47" s="28" t="n">
        <f aca="false">REGIONS!$F$7*(1+ASSUMPTIONS!$B$19*$A47)</f>
        <v>0.992</v>
      </c>
      <c r="AJ47" s="28" t="n">
        <f aca="false">REGIONS!$F$8*(1+ASSUMPTIONS!$B$19*$A47)</f>
        <v>1.116</v>
      </c>
      <c r="AK47" s="28" t="n">
        <f aca="false">REGIONS!$F$9*(1+ASSUMPTIONS!$B$19*$A47)</f>
        <v>1.116</v>
      </c>
      <c r="AL47" s="28" t="n">
        <f aca="false">REGIONS!$F$10*(1+ASSUMPTIONS!$B$19*$A47)</f>
        <v>0.868</v>
      </c>
      <c r="AM47" s="28" t="n">
        <f aca="false">REGIONS!$F$11*(1+ASSUMPTIONS!$B$19*$A47)</f>
        <v>0.868</v>
      </c>
      <c r="AN47" s="28" t="n">
        <f aca="false">REGIONS!$F$12*(1+ASSUMPTIONS!$B$19*$A47)</f>
        <v>1.364</v>
      </c>
      <c r="AO47" s="28" t="n">
        <f aca="false">REGIONS!$F$13*(1+ASSUMPTIONS!$B$19*$A47)</f>
        <v>1.488</v>
      </c>
      <c r="AP47" s="28" t="n">
        <f aca="false">REGIONS!$F$14*(1+ASSUMPTIONS!$B$19*$A47)</f>
        <v>1.488</v>
      </c>
      <c r="AQ47" s="11" t="n">
        <f aca="false">SUMPRODUCT(($D$8:$D$47=REGIONS!$B$7)*($A$8:$A$47&lt;=$A47)*$L$8:$L$47)+SUMPRODUCT(($N$8:$N$47=REGIONS!$B$7)*($A$8:$A$47&lt;=$A47)*$V$8:$V$47)</f>
        <v>0</v>
      </c>
      <c r="AR47" s="11" t="n">
        <f aca="false">SUMPRODUCT(($D$8:$D$47=REGIONS!$B$8)*($A$8:$A$47&lt;=$A47)*$L$8:$L$47)+SUMPRODUCT(($N$8:$N$47=REGIONS!$B$8)*($A$8:$A$47&lt;=$A47)*$V$8:$V$47)</f>
        <v>0</v>
      </c>
      <c r="AS47" s="11" t="n">
        <f aca="false">SUMPRODUCT(($D$8:$D$47=REGIONS!$B$9)*($A$8:$A$47&lt;=$A47)*$L$8:$L$47)+SUMPRODUCT(($N$8:$N$47=REGIONS!$B$9)*($A$8:$A$47&lt;=$A47)*$V$8:$V$47)</f>
        <v>0</v>
      </c>
      <c r="AT47" s="11" t="n">
        <f aca="false">SUMPRODUCT(($D$8:$D$47=REGIONS!$B$10)*($A$8:$A$47&lt;=$A47)*$L$8:$L$47)+SUMPRODUCT(($N$8:$N$47=REGIONS!$B$10)*($A$8:$A$47&lt;=$A47)*$V$8:$V$47)</f>
        <v>0</v>
      </c>
      <c r="AU47" s="11" t="n">
        <f aca="false">SUMPRODUCT(($D$8:$D$47=REGIONS!$B$11)*($A$8:$A$47&lt;=$A47)*$L$8:$L$47)+SUMPRODUCT(($N$8:$N$47=REGIONS!$B$11)*($A$8:$A$47&lt;=$A47)*$V$8:$V$47)</f>
        <v>0</v>
      </c>
      <c r="AV47" s="11" t="n">
        <f aca="false">SUMPRODUCT(($D$8:$D$47=REGIONS!$B$12)*($A$8:$A$47&lt;=$A47)*$L$8:$L$47)+SUMPRODUCT(($N$8:$N$47=REGIONS!$B$12)*($A$8:$A$47&lt;=$A47)*$V$8:$V$47)</f>
        <v>0</v>
      </c>
      <c r="AW47" s="11" t="n">
        <f aca="false">SUMPRODUCT(($D$8:$D$47=REGIONS!$B$13)*($A$8:$A$47&lt;=$A47)*$L$8:$L$47)+SUMPRODUCT(($N$8:$N$47=REGIONS!$B$13)*($A$8:$A$47&lt;=$A47)*$V$8:$V$47)</f>
        <v>0</v>
      </c>
      <c r="AX47" s="11" t="n">
        <f aca="false">SUMPRODUCT(($D$8:$D$47=REGIONS!$B$14)*($A$8:$A$47&lt;=$A47)*$L$8:$L$47)+SUMPRODUCT(($N$8:$N$47=REGIONS!$B$14)*($A$8:$A$47&lt;=$A47)*$V$8:$V$47)</f>
        <v>0</v>
      </c>
      <c r="AY47" s="12" t="n">
        <f aca="false">MAX(0,MIN(135,100-(MAX(0,-$AA47)*REGIONS!$E$7*ASSUMPTIONS!$B$7+MAX(0,$AA47-ASSUMPTIONS!$B$9)*REGIONS!$E$7*ASSUMPTIONS!$B$8)*(1-$AQ47/100)))</f>
        <v>98.0386</v>
      </c>
      <c r="AZ47" s="12" t="n">
        <f aca="false">MAX(0,MIN(135,100-(MAX(0,-$AB47)*REGIONS!$E$8*ASSUMPTIONS!$B$7+MAX(0,$AB47-ASSUMPTIONS!$B$9)*REGIONS!$E$8*ASSUMPTIONS!$B$8)*(1-$AR47/100)))</f>
        <v>95.82044</v>
      </c>
      <c r="BA47" s="12" t="n">
        <f aca="false">MAX(0,MIN(135,100-(MAX(0,-$AC47)*REGIONS!$E$9*ASSUMPTIONS!$B$7+MAX(0,$AC47-ASSUMPTIONS!$B$9)*REGIONS!$E$9*ASSUMPTIONS!$B$8)*(1-$AS47/100)))</f>
        <v>85.58</v>
      </c>
      <c r="BB47" s="12" t="n">
        <f aca="false">MAX(0,MIN(135,100-(MAX(0,-$AD47)*REGIONS!$E$10*ASSUMPTIONS!$B$7+MAX(0,$AD47-ASSUMPTIONS!$B$9)*REGIONS!$E$10*ASSUMPTIONS!$B$8)*(1-$AT47/100)))</f>
        <v>100</v>
      </c>
      <c r="BC47" s="12" t="n">
        <f aca="false">MAX(0,MIN(135,100-(MAX(0,-$AE47)*REGIONS!$E$11*ASSUMPTIONS!$B$7+MAX(0,$AE47-ASSUMPTIONS!$B$9)*REGIONS!$E$11*ASSUMPTIONS!$B$8)*(1-$AU47/100)))</f>
        <v>100</v>
      </c>
      <c r="BD47" s="12" t="n">
        <f aca="false">MAX(0,MIN(135,100-(MAX(0,-$AF47)*REGIONS!$E$12*ASSUMPTIONS!$B$7+MAX(0,$AF47-ASSUMPTIONS!$B$9)*REGIONS!$E$12*ASSUMPTIONS!$B$8)*(1-$AV47/100)))</f>
        <v>99.13472</v>
      </c>
      <c r="BE47" s="12" t="n">
        <f aca="false">MAX(0,MIN(135,100-(MAX(0,-$AG47)*REGIONS!$E$13*ASSUMPTIONS!$B$7+MAX(0,$AG47-ASSUMPTIONS!$B$9)*REGIONS!$E$13*ASSUMPTIONS!$B$8)*(1-$AW47/100)))</f>
        <v>100</v>
      </c>
      <c r="BF47" s="12" t="n">
        <f aca="false">MAX(0,MIN(135,100-(MAX(0,-$AH47)*REGIONS!$E$14*ASSUMPTIONS!$B$7+MAX(0,$AH47-ASSUMPTIONS!$B$9)*REGIONS!$E$14*ASSUMPTIONS!$B$8)*(1-$AX47/100)))</f>
        <v>78.72616</v>
      </c>
      <c r="BG47" s="12" t="n">
        <f aca="false">$AY47*REGIONS!$D$7/100+$AZ47*REGIONS!$D$8/100+$BA47*REGIONS!$D$9/100+$BB47*REGIONS!$D$10/100+$BC47*REGIONS!$D$11/100+$BD47*REGIONS!$D$12/100+$BE47*REGIONS!$D$13/100+$BF47*REGIONS!$D$14/100</f>
        <v>95.4389904</v>
      </c>
      <c r="BH47" s="12" t="n">
        <f aca="false">100*(100/MAX(1,$BG47))^ASSUMPTIONS!$B$10</f>
        <v>108.766084438925</v>
      </c>
      <c r="BI47" s="12" t="n">
        <f aca="false">$AY47*$BH47/100*ASSUMPTIONS!$B$11</f>
        <v>90.6378344899287</v>
      </c>
      <c r="BJ47" s="28" t="n">
        <f aca="false">MAX(0,ABS($AA47)-$AI47*ASSUMPTIONS!$B$24)*REGIONS!$D$7/100+MAX(0,ABS($AB47)-$AJ47*ASSUMPTIONS!$B$24)*REGIONS!$D$8/100+MAX(0,ABS($AC47)-$AK47*ASSUMPTIONS!$B$24)*REGIONS!$D$9/100+MAX(0,ABS($AD47)-$AL47*ASSUMPTIONS!$B$24)*REGIONS!$D$10/100+MAX(0,ABS($AE47)-$AM47*ASSUMPTIONS!$B$24)*REGIONS!$D$11/100+MAX(0,ABS($AF47)-$AN47*ASSUMPTIONS!$B$24)*REGIONS!$D$12/100+MAX(0,ABS($AG47)-$AO47*ASSUMPTIONS!$B$24)*REGIONS!$D$13/100+MAX(0,ABS($AH47)-$AP47*ASSUMPTIONS!$B$24)*REGIONS!$D$14/100</f>
        <v>0.06598</v>
      </c>
      <c r="BK47" s="12" t="n">
        <f aca="false">MIN(ASSUMPTIONS!$B$14,ASSUMPTIONS!$B$12+$BJ47*ASSUMPTIONS!$B$13)</f>
        <v>30.77116</v>
      </c>
      <c r="BL47" s="11" t="n">
        <f aca="false">$H47+$R47</f>
        <v>0</v>
      </c>
      <c r="BM47" s="11" t="n">
        <f aca="false">PLAY!$H47</f>
        <v>0</v>
      </c>
      <c r="BN47" s="12" t="n">
        <f aca="false">$BI47*ASSUMPTIONS!$B$15+$BK47*ASSUMPTIONS!$B$16</f>
        <v>38.5705841387914</v>
      </c>
      <c r="BO47" s="12" t="n">
        <f aca="false">$BO46+$BN47-$BL47-$BM47-ASSUMPTIONS!$B$23</f>
        <v>300.587086721908</v>
      </c>
      <c r="BP47" s="12" t="n">
        <f aca="false">(SUMPRODUCT(($F$8:$F$46+$A$8:$A$46=$A47)*($C$8:$C$46&lt;&gt;"NONE")*$G$8:$G$46)+SUMPRODUCT(($P$8:$P$46+$A$8:$A$46=$A47)*($M$8:$M$46&lt;&gt;"NONE")*$Q$8:$Q$46))*(1+ASSUMPTIONS!$B$22*(MAX(0,ABS($AA47)/$AI47-1)+MAX(0,ABS($AB47)/$AJ47-1)+MAX(0,ABS($AC47)/$AK47-1)+MAX(0,ABS($AD47)/$AL47-1)+MAX(0,ABS($AE47)/$AM47-1)+MAX(0,ABS($AF47)/$AN47-1)+MAX(0,ABS($AG47)/$AO47-1)+MAX(0,ABS($AH47)/$AP47-1))/8)</f>
        <v>0</v>
      </c>
      <c r="BQ47" s="12" t="n">
        <f aca="false">MAX(0,$BQ46*(1-ASSUMPTIONS!$B$18)+$BP47-$BM47*ASSUMPTIONS!$B$17)</f>
        <v>0.447720205559182</v>
      </c>
    </row>
  </sheetData>
  <mergeCells count="1">
    <mergeCell ref="A1:A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2026-08-24T16:34:22Z</dcterms:created>
  <dc:creator>openpyxl</dc:creator>
  <dc:description/>
  <dc:language>en-US</dc:language>
  <cp:lastModifiedBy/>
  <dcterms:modified xsi:type="dcterms:W3CDTF">2026-08-24T16:34:22Z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